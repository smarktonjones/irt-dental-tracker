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d.docs.live.net/bfc8b3b96ee97f28/Desktop/CDR Buzzell Navy Files/AT FY25 IRT Puerto Rico Metrics/"/>
    </mc:Choice>
  </mc:AlternateContent>
  <xr:revisionPtr revIDLastSave="1409" documentId="13_ncr:1_{B89A2656-CBD6-47B7-B7EB-2A1FB6995D56}" xr6:coauthVersionLast="47" xr6:coauthVersionMax="47" xr10:uidLastSave="{A022AA38-D483-441E-82E9-74EFE02A46FE}"/>
  <bookViews>
    <workbookView xWindow="1125" yWindow="1125" windowWidth="10710" windowHeight="13500" tabRatio="817" xr2:uid="{1076861E-8282-46A1-91AD-B9E211D89F26}"/>
  </bookViews>
  <sheets>
    <sheet name="INSTRUCTIONS" sheetId="25" r:id="rId1"/>
    <sheet name="2024 Rates" sheetId="40" r:id="rId2"/>
    <sheet name="SourceValues" sheetId="5" r:id="rId3"/>
    <sheet name="Day1" sheetId="41" r:id="rId4"/>
    <sheet name="Day2" sheetId="51" r:id="rId5"/>
    <sheet name="Day3" sheetId="67" r:id="rId6"/>
    <sheet name="Day4" sheetId="68" r:id="rId7"/>
    <sheet name="Day5" sheetId="69" r:id="rId8"/>
    <sheet name="Day6" sheetId="70" r:id="rId9"/>
    <sheet name="Day7" sheetId="71" r:id="rId10"/>
    <sheet name="Day8" sheetId="72" r:id="rId11"/>
    <sheet name="Day9" sheetId="73" r:id="rId12"/>
    <sheet name="Day10" sheetId="74" r:id="rId13"/>
    <sheet name="ProjectDetails" sheetId="4" r:id="rId14"/>
    <sheet name="Mission Summary" sheetId="27" r:id="rId15"/>
    <sheet name="Overall Summary" sheetId="26" r:id="rId16"/>
    <sheet name="Provider Summary" sheetId="1" r:id="rId17"/>
    <sheet name="Sheet1" sheetId="28" r:id="rId18"/>
    <sheet name="Daily DIRS Sheet" sheetId="24" r:id="rId19"/>
  </sheets>
  <externalReferences>
    <externalReference r:id="rId20"/>
  </externalReferences>
  <definedNames>
    <definedName name="_xlnm.Print_Area" localSheetId="18">'Daily DIRS Sheet'!$D$2:$J$34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174" i="51" l="1"/>
  <c r="AF174" i="67" s="1"/>
  <c r="AF174" i="68" s="1"/>
  <c r="AF174" i="69" s="1"/>
  <c r="AF174" i="70" s="1"/>
  <c r="AF174" i="71" s="1"/>
  <c r="AF174" i="72" s="1"/>
  <c r="AF174" i="73" s="1"/>
  <c r="AF172" i="51"/>
  <c r="AF170" i="51"/>
  <c r="AF170" i="67" s="1"/>
  <c r="AF170" i="68" s="1"/>
  <c r="AF170" i="69" s="1"/>
  <c r="AF170" i="70" s="1"/>
  <c r="AF170" i="71" s="1"/>
  <c r="AF170" i="72" s="1"/>
  <c r="AF170" i="73" s="1"/>
  <c r="AF172" i="67"/>
  <c r="AF172" i="68" s="1"/>
  <c r="AF172" i="69" s="1"/>
  <c r="AF172" i="70" s="1"/>
  <c r="AF172" i="71" s="1"/>
  <c r="AF172" i="72" s="1"/>
  <c r="AF172" i="73" s="1"/>
  <c r="AE170" i="41"/>
  <c r="AF174" i="41"/>
  <c r="AF172" i="41"/>
  <c r="AF170" i="41"/>
  <c r="AE172" i="41"/>
  <c r="AE174" i="41"/>
  <c r="AE174" i="74"/>
  <c r="AE172" i="74"/>
  <c r="AE170" i="74"/>
  <c r="AE174" i="73"/>
  <c r="AE172" i="73"/>
  <c r="AE170" i="73"/>
  <c r="AE174" i="72"/>
  <c r="AE172" i="72"/>
  <c r="AE170" i="72"/>
  <c r="AE174" i="71"/>
  <c r="AE172" i="71"/>
  <c r="AE170" i="71"/>
  <c r="AE174" i="70"/>
  <c r="AE172" i="70"/>
  <c r="AE170" i="70"/>
  <c r="AE174" i="69"/>
  <c r="AE172" i="69"/>
  <c r="AE170" i="69"/>
  <c r="AE174" i="68"/>
  <c r="AE172" i="68"/>
  <c r="AE170" i="68"/>
  <c r="AE174" i="67"/>
  <c r="AE172" i="67"/>
  <c r="AE170" i="67"/>
  <c r="AE176" i="67"/>
  <c r="AE174" i="51"/>
  <c r="AE172" i="51"/>
  <c r="AE170" i="51"/>
  <c r="Y177" i="74"/>
  <c r="Z177" i="74"/>
  <c r="Z177" i="73"/>
  <c r="Z177" i="72"/>
  <c r="Z177" i="71"/>
  <c r="Z177" i="51"/>
  <c r="Z177" i="67"/>
  <c r="Z177" i="68"/>
  <c r="Z177" i="69"/>
  <c r="Z177" i="70"/>
  <c r="X177" i="74"/>
  <c r="W177" i="74"/>
  <c r="Y177" i="73"/>
  <c r="X177" i="73"/>
  <c r="W177" i="73"/>
  <c r="Y177" i="72"/>
  <c r="X177" i="72"/>
  <c r="W177" i="72"/>
  <c r="Y177" i="71"/>
  <c r="X177" i="71"/>
  <c r="W177" i="71"/>
  <c r="Y177" i="70"/>
  <c r="X177" i="70"/>
  <c r="W177" i="70"/>
  <c r="Y177" i="69"/>
  <c r="X177" i="69"/>
  <c r="W177" i="69"/>
  <c r="Y177" i="68"/>
  <c r="X177" i="68"/>
  <c r="Y177" i="67"/>
  <c r="X177" i="67"/>
  <c r="Y177" i="51"/>
  <c r="X177" i="51"/>
  <c r="W177" i="51"/>
  <c r="Z157" i="73"/>
  <c r="Z158" i="73"/>
  <c r="Z159" i="73"/>
  <c r="Z160" i="73"/>
  <c r="Z161" i="73"/>
  <c r="Z162" i="73"/>
  <c r="Z163" i="73"/>
  <c r="Z164" i="73"/>
  <c r="Z165" i="73"/>
  <c r="Z166" i="73"/>
  <c r="Z167" i="73"/>
  <c r="Z168" i="73"/>
  <c r="Z169" i="73"/>
  <c r="Z170" i="73"/>
  <c r="Z171" i="73"/>
  <c r="Z172" i="73"/>
  <c r="Z173" i="73"/>
  <c r="Z174" i="73"/>
  <c r="Z175" i="73"/>
  <c r="Z176" i="73"/>
  <c r="Z176" i="72"/>
  <c r="Z157" i="72"/>
  <c r="Z158" i="72"/>
  <c r="Z159" i="72"/>
  <c r="Z160" i="72"/>
  <c r="Z161" i="72"/>
  <c r="Z162" i="72"/>
  <c r="Z163" i="72"/>
  <c r="Z164" i="72"/>
  <c r="Z165" i="72"/>
  <c r="Z166" i="72"/>
  <c r="Z167" i="72"/>
  <c r="Z168" i="72"/>
  <c r="Z169" i="72"/>
  <c r="Z170" i="72"/>
  <c r="Z171" i="72"/>
  <c r="AD171" i="72" s="1"/>
  <c r="Z172" i="72"/>
  <c r="Z173" i="72"/>
  <c r="Z174" i="72"/>
  <c r="Z175" i="72"/>
  <c r="Z157" i="71"/>
  <c r="Z158" i="71"/>
  <c r="Z159" i="71"/>
  <c r="Z160" i="71"/>
  <c r="Z161" i="71"/>
  <c r="Z162" i="71"/>
  <c r="Z163" i="71"/>
  <c r="Z164" i="71"/>
  <c r="Z165" i="71"/>
  <c r="AD165" i="71" s="1"/>
  <c r="Z166" i="71"/>
  <c r="Z167" i="71"/>
  <c r="Z168" i="71"/>
  <c r="Z169" i="71"/>
  <c r="Z170" i="71"/>
  <c r="Z171" i="71"/>
  <c r="AD171" i="71" s="1"/>
  <c r="Z172" i="71"/>
  <c r="Z173" i="71"/>
  <c r="Z174" i="71"/>
  <c r="Z175" i="71"/>
  <c r="Z176" i="71"/>
  <c r="Z157" i="70"/>
  <c r="Z158" i="70"/>
  <c r="Z159" i="70"/>
  <c r="Z160" i="70"/>
  <c r="Z161" i="70"/>
  <c r="Z162" i="70"/>
  <c r="Z163" i="70"/>
  <c r="Z164" i="70"/>
  <c r="Z165" i="70"/>
  <c r="Z166" i="70"/>
  <c r="Z167" i="70"/>
  <c r="Z168" i="70"/>
  <c r="Z169" i="70"/>
  <c r="Z170" i="70"/>
  <c r="Z171" i="70"/>
  <c r="Z172" i="70"/>
  <c r="Z173" i="70"/>
  <c r="Z174" i="70"/>
  <c r="Z175" i="70"/>
  <c r="Z176" i="70"/>
  <c r="Z157" i="69"/>
  <c r="Z158" i="69"/>
  <c r="Z159" i="69"/>
  <c r="Z160" i="69"/>
  <c r="Z161" i="69"/>
  <c r="Z162" i="69"/>
  <c r="Z163" i="69"/>
  <c r="Z164" i="69"/>
  <c r="Z165" i="69"/>
  <c r="Z166" i="69"/>
  <c r="Z167" i="69"/>
  <c r="Z168" i="69"/>
  <c r="Z169" i="69"/>
  <c r="Z170" i="69"/>
  <c r="Z171" i="69"/>
  <c r="Z172" i="69"/>
  <c r="Z173" i="69"/>
  <c r="Z174" i="69"/>
  <c r="Z175" i="69"/>
  <c r="Z176" i="69"/>
  <c r="Z157" i="68"/>
  <c r="Z158" i="68"/>
  <c r="Z159" i="68"/>
  <c r="Z160" i="68"/>
  <c r="Z161" i="68"/>
  <c r="Z162" i="68"/>
  <c r="Z163" i="68"/>
  <c r="Z164" i="68"/>
  <c r="Z165" i="68"/>
  <c r="Z166" i="68"/>
  <c r="Z167" i="68"/>
  <c r="Z168" i="68"/>
  <c r="Z169" i="68"/>
  <c r="Z170" i="68"/>
  <c r="Z171" i="68"/>
  <c r="Z172" i="68"/>
  <c r="Z173" i="68"/>
  <c r="Z174" i="68"/>
  <c r="Z175" i="68"/>
  <c r="Z176" i="68"/>
  <c r="Z157" i="51"/>
  <c r="Z158" i="51"/>
  <c r="AD158" i="51" s="1"/>
  <c r="Z159" i="51"/>
  <c r="AD159" i="51" s="1"/>
  <c r="Z160" i="51"/>
  <c r="Z161" i="51"/>
  <c r="Z162" i="51"/>
  <c r="Z163" i="51"/>
  <c r="Z164" i="51"/>
  <c r="Z165" i="51"/>
  <c r="Z166" i="51"/>
  <c r="AD166" i="51" s="1"/>
  <c r="Z167" i="51"/>
  <c r="Z168" i="51"/>
  <c r="Z169" i="51"/>
  <c r="Z170" i="51"/>
  <c r="Z171" i="51"/>
  <c r="Z172" i="51"/>
  <c r="Z173" i="51"/>
  <c r="Z174" i="51"/>
  <c r="Z175" i="51"/>
  <c r="Z176" i="51"/>
  <c r="Z163" i="41"/>
  <c r="Z164" i="41"/>
  <c r="AD164" i="41" s="1"/>
  <c r="Z171" i="41"/>
  <c r="Z172" i="41"/>
  <c r="Z157" i="74"/>
  <c r="Z158" i="74"/>
  <c r="Z159" i="74"/>
  <c r="Z160" i="74"/>
  <c r="Z161" i="74"/>
  <c r="Z162" i="74"/>
  <c r="Z163" i="74"/>
  <c r="Z164" i="74"/>
  <c r="Z165" i="74"/>
  <c r="Z166" i="74"/>
  <c r="Z167" i="74"/>
  <c r="Z168" i="74"/>
  <c r="Z169" i="74"/>
  <c r="Z170" i="74"/>
  <c r="Z171" i="74"/>
  <c r="Z172" i="74"/>
  <c r="Z173" i="74"/>
  <c r="Z174" i="74"/>
  <c r="Z175" i="74"/>
  <c r="Z176" i="74"/>
  <c r="S177" i="74"/>
  <c r="N177" i="74"/>
  <c r="F177" i="74"/>
  <c r="D177" i="74"/>
  <c r="C177" i="74"/>
  <c r="AC176" i="74"/>
  <c r="AB176" i="74"/>
  <c r="AA176" i="74"/>
  <c r="Y176" i="74"/>
  <c r="X176" i="74"/>
  <c r="W176" i="74"/>
  <c r="AC175" i="74"/>
  <c r="AD175" i="74" s="1"/>
  <c r="AB175" i="74"/>
  <c r="AA175" i="74"/>
  <c r="Y175" i="74"/>
  <c r="X175" i="74"/>
  <c r="W175" i="74"/>
  <c r="AD174" i="74"/>
  <c r="AC174" i="74"/>
  <c r="AB174" i="74"/>
  <c r="AA174" i="74"/>
  <c r="Y174" i="74"/>
  <c r="X174" i="74"/>
  <c r="W174" i="74"/>
  <c r="AC173" i="74"/>
  <c r="AD173" i="74" s="1"/>
  <c r="AB173" i="74"/>
  <c r="AA173" i="74"/>
  <c r="Y173" i="74"/>
  <c r="X173" i="74"/>
  <c r="W173" i="74"/>
  <c r="AC172" i="74"/>
  <c r="AB172" i="74"/>
  <c r="AA172" i="74"/>
  <c r="Y172" i="74"/>
  <c r="X172" i="74"/>
  <c r="W172" i="74"/>
  <c r="AC171" i="74"/>
  <c r="AB171" i="74"/>
  <c r="AA171" i="74"/>
  <c r="Y171" i="74"/>
  <c r="X171" i="74"/>
  <c r="W171" i="74"/>
  <c r="AC170" i="74"/>
  <c r="AD170" i="74" s="1"/>
  <c r="AB170" i="74"/>
  <c r="AA170" i="74"/>
  <c r="Y170" i="74"/>
  <c r="X170" i="74"/>
  <c r="W170" i="74"/>
  <c r="AC169" i="74"/>
  <c r="AD169" i="74" s="1"/>
  <c r="AB169" i="74"/>
  <c r="AA169" i="74"/>
  <c r="Y169" i="74"/>
  <c r="X169" i="74"/>
  <c r="W169" i="74"/>
  <c r="AC168" i="74"/>
  <c r="AD168" i="74" s="1"/>
  <c r="AB168" i="74"/>
  <c r="AA168" i="74"/>
  <c r="Y168" i="74"/>
  <c r="X168" i="74"/>
  <c r="W168" i="74"/>
  <c r="AC167" i="74"/>
  <c r="AB167" i="74"/>
  <c r="AA167" i="74"/>
  <c r="Y167" i="74"/>
  <c r="X167" i="74"/>
  <c r="W167" i="74"/>
  <c r="AD166" i="74"/>
  <c r="AC166" i="74"/>
  <c r="AB166" i="74"/>
  <c r="AA166" i="74"/>
  <c r="Y166" i="74"/>
  <c r="X166" i="74"/>
  <c r="W166" i="74"/>
  <c r="AC165" i="74"/>
  <c r="AD165" i="74" s="1"/>
  <c r="AB165" i="74"/>
  <c r="AA165" i="74"/>
  <c r="Y165" i="74"/>
  <c r="X165" i="74"/>
  <c r="W165" i="74"/>
  <c r="AC164" i="74"/>
  <c r="AB164" i="74"/>
  <c r="AA164" i="74"/>
  <c r="Y164" i="74"/>
  <c r="X164" i="74"/>
  <c r="W164" i="74"/>
  <c r="AC163" i="74"/>
  <c r="AB163" i="74"/>
  <c r="AA163" i="74"/>
  <c r="Y163" i="74"/>
  <c r="X163" i="74"/>
  <c r="W163" i="74"/>
  <c r="AC162" i="74"/>
  <c r="AD162" i="74" s="1"/>
  <c r="AB162" i="74"/>
  <c r="AA162" i="74"/>
  <c r="Y162" i="74"/>
  <c r="X162" i="74"/>
  <c r="W162" i="74"/>
  <c r="AC161" i="74"/>
  <c r="AD161" i="74" s="1"/>
  <c r="AB161" i="74"/>
  <c r="AA161" i="74"/>
  <c r="Y161" i="74"/>
  <c r="X161" i="74"/>
  <c r="W161" i="74"/>
  <c r="AC160" i="74"/>
  <c r="AD160" i="74" s="1"/>
  <c r="AB160" i="74"/>
  <c r="AA160" i="74"/>
  <c r="Y160" i="74"/>
  <c r="X160" i="74"/>
  <c r="W160" i="74"/>
  <c r="AC159" i="74"/>
  <c r="AB159" i="74"/>
  <c r="AA159" i="74"/>
  <c r="Y159" i="74"/>
  <c r="X159" i="74"/>
  <c r="W159" i="74"/>
  <c r="AD158" i="74"/>
  <c r="AC158" i="74"/>
  <c r="AB158" i="74"/>
  <c r="AA158" i="74"/>
  <c r="Y158" i="74"/>
  <c r="X158" i="74"/>
  <c r="W158" i="74"/>
  <c r="AC157" i="74"/>
  <c r="AD157" i="74" s="1"/>
  <c r="AB157" i="74"/>
  <c r="AA157" i="74"/>
  <c r="Y157" i="74"/>
  <c r="X157" i="74"/>
  <c r="W157" i="74"/>
  <c r="AC156" i="74"/>
  <c r="AB156" i="74"/>
  <c r="AA156" i="74"/>
  <c r="Y156" i="74"/>
  <c r="X156" i="74"/>
  <c r="W156" i="74"/>
  <c r="Z156" i="74" s="1"/>
  <c r="AD156" i="74" s="1"/>
  <c r="AC155" i="74"/>
  <c r="AB155" i="74"/>
  <c r="AA155" i="74"/>
  <c r="Y155" i="74"/>
  <c r="X155" i="74"/>
  <c r="W155" i="74"/>
  <c r="Z155" i="74" s="1"/>
  <c r="AD155" i="74" s="1"/>
  <c r="AC154" i="74"/>
  <c r="AB154" i="74"/>
  <c r="AA154" i="74"/>
  <c r="Y154" i="74"/>
  <c r="X154" i="74"/>
  <c r="W154" i="74"/>
  <c r="AC153" i="74"/>
  <c r="AB153" i="74"/>
  <c r="AA153" i="74"/>
  <c r="Y153" i="74"/>
  <c r="X153" i="74"/>
  <c r="W153" i="74"/>
  <c r="Z153" i="74" s="1"/>
  <c r="AC152" i="74"/>
  <c r="AB152" i="74"/>
  <c r="AA152" i="74"/>
  <c r="Y152" i="74"/>
  <c r="X152" i="74"/>
  <c r="W152" i="74"/>
  <c r="Z152" i="74" s="1"/>
  <c r="AD152" i="74" s="1"/>
  <c r="AC151" i="74"/>
  <c r="AB151" i="74"/>
  <c r="AA151" i="74"/>
  <c r="Y151" i="74"/>
  <c r="X151" i="74"/>
  <c r="W151" i="74"/>
  <c r="Z151" i="74" s="1"/>
  <c r="AD151" i="74" s="1"/>
  <c r="AC150" i="74"/>
  <c r="AB150" i="74"/>
  <c r="AA150" i="74"/>
  <c r="Y150" i="74"/>
  <c r="X150" i="74"/>
  <c r="W150" i="74"/>
  <c r="AC149" i="74"/>
  <c r="AB149" i="74"/>
  <c r="AA149" i="74"/>
  <c r="Y149" i="74"/>
  <c r="X149" i="74"/>
  <c r="W149" i="74"/>
  <c r="Z149" i="74" s="1"/>
  <c r="AC148" i="74"/>
  <c r="AB148" i="74"/>
  <c r="AA148" i="74"/>
  <c r="Y148" i="74"/>
  <c r="X148" i="74"/>
  <c r="W148" i="74"/>
  <c r="Z148" i="74" s="1"/>
  <c r="AD148" i="74" s="1"/>
  <c r="AC147" i="74"/>
  <c r="AB147" i="74"/>
  <c r="AA147" i="74"/>
  <c r="Y147" i="74"/>
  <c r="X147" i="74"/>
  <c r="W147" i="74"/>
  <c r="Z147" i="74" s="1"/>
  <c r="AD147" i="74" s="1"/>
  <c r="AC146" i="74"/>
  <c r="AB146" i="74"/>
  <c r="AA146" i="74"/>
  <c r="Y146" i="74"/>
  <c r="X146" i="74"/>
  <c r="W146" i="74"/>
  <c r="AC145" i="74"/>
  <c r="AB145" i="74"/>
  <c r="AA145" i="74"/>
  <c r="Y145" i="74"/>
  <c r="X145" i="74"/>
  <c r="W145" i="74"/>
  <c r="Z145" i="74" s="1"/>
  <c r="AC144" i="74"/>
  <c r="AB144" i="74"/>
  <c r="AA144" i="74"/>
  <c r="Y144" i="74"/>
  <c r="X144" i="74"/>
  <c r="W144" i="74"/>
  <c r="Z144" i="74" s="1"/>
  <c r="AD144" i="74" s="1"/>
  <c r="AC143" i="74"/>
  <c r="AB143" i="74"/>
  <c r="AA143" i="74"/>
  <c r="Y143" i="74"/>
  <c r="X143" i="74"/>
  <c r="W143" i="74"/>
  <c r="Z143" i="74" s="1"/>
  <c r="AD143" i="74" s="1"/>
  <c r="AC142" i="74"/>
  <c r="AB142" i="74"/>
  <c r="AA142" i="74"/>
  <c r="Y142" i="74"/>
  <c r="X142" i="74"/>
  <c r="W142" i="74"/>
  <c r="AC141" i="74"/>
  <c r="AB141" i="74"/>
  <c r="AA141" i="74"/>
  <c r="Y141" i="74"/>
  <c r="X141" i="74"/>
  <c r="W141" i="74"/>
  <c r="Z141" i="74" s="1"/>
  <c r="AC140" i="74"/>
  <c r="AB140" i="74"/>
  <c r="AA140" i="74"/>
  <c r="Y140" i="74"/>
  <c r="X140" i="74"/>
  <c r="W140" i="74"/>
  <c r="Z140" i="74" s="1"/>
  <c r="AD140" i="74" s="1"/>
  <c r="AC139" i="74"/>
  <c r="AB139" i="74"/>
  <c r="AA139" i="74"/>
  <c r="Y139" i="74"/>
  <c r="X139" i="74"/>
  <c r="W139" i="74"/>
  <c r="Z139" i="74" s="1"/>
  <c r="AD139" i="74" s="1"/>
  <c r="AC138" i="74"/>
  <c r="AB138" i="74"/>
  <c r="AA138" i="74"/>
  <c r="Y138" i="74"/>
  <c r="X138" i="74"/>
  <c r="W138" i="74"/>
  <c r="AC137" i="74"/>
  <c r="AB137" i="74"/>
  <c r="AA137" i="74"/>
  <c r="Y137" i="74"/>
  <c r="X137" i="74"/>
  <c r="W137" i="74"/>
  <c r="Z137" i="74" s="1"/>
  <c r="AC136" i="74"/>
  <c r="AB136" i="74"/>
  <c r="AA136" i="74"/>
  <c r="Y136" i="74"/>
  <c r="X136" i="74"/>
  <c r="W136" i="74"/>
  <c r="Z136" i="74" s="1"/>
  <c r="AD136" i="74" s="1"/>
  <c r="AC135" i="74"/>
  <c r="AB135" i="74"/>
  <c r="AA135" i="74"/>
  <c r="Y135" i="74"/>
  <c r="X135" i="74"/>
  <c r="W135" i="74"/>
  <c r="Z135" i="74" s="1"/>
  <c r="AD135" i="74" s="1"/>
  <c r="AC134" i="74"/>
  <c r="AB134" i="74"/>
  <c r="AA134" i="74"/>
  <c r="Y134" i="74"/>
  <c r="X134" i="74"/>
  <c r="W134" i="74"/>
  <c r="AC133" i="74"/>
  <c r="AB133" i="74"/>
  <c r="AA133" i="74"/>
  <c r="Y133" i="74"/>
  <c r="X133" i="74"/>
  <c r="W133" i="74"/>
  <c r="Z133" i="74" s="1"/>
  <c r="AC132" i="74"/>
  <c r="AB132" i="74"/>
  <c r="AA132" i="74"/>
  <c r="Y132" i="74"/>
  <c r="X132" i="74"/>
  <c r="W132" i="74"/>
  <c r="Z132" i="74" s="1"/>
  <c r="AD132" i="74" s="1"/>
  <c r="AC131" i="74"/>
  <c r="AB131" i="74"/>
  <c r="AA131" i="74"/>
  <c r="Y131" i="74"/>
  <c r="X131" i="74"/>
  <c r="W131" i="74"/>
  <c r="Z131" i="74" s="1"/>
  <c r="AD131" i="74" s="1"/>
  <c r="AC130" i="74"/>
  <c r="AB130" i="74"/>
  <c r="AA130" i="74"/>
  <c r="Y130" i="74"/>
  <c r="X130" i="74"/>
  <c r="W130" i="74"/>
  <c r="AC129" i="74"/>
  <c r="AB129" i="74"/>
  <c r="AA129" i="74"/>
  <c r="Y129" i="74"/>
  <c r="X129" i="74"/>
  <c r="W129" i="74"/>
  <c r="Z129" i="74" s="1"/>
  <c r="AC128" i="74"/>
  <c r="AB128" i="74"/>
  <c r="AA128" i="74"/>
  <c r="Y128" i="74"/>
  <c r="X128" i="74"/>
  <c r="W128" i="74"/>
  <c r="Z128" i="74" s="1"/>
  <c r="AD128" i="74" s="1"/>
  <c r="AC127" i="74"/>
  <c r="AB127" i="74"/>
  <c r="AA127" i="74"/>
  <c r="Y127" i="74"/>
  <c r="X127" i="74"/>
  <c r="W127" i="74"/>
  <c r="Z127" i="74" s="1"/>
  <c r="AD127" i="74" s="1"/>
  <c r="AC126" i="74"/>
  <c r="AB126" i="74"/>
  <c r="AA126" i="74"/>
  <c r="Y126" i="74"/>
  <c r="X126" i="74"/>
  <c r="W126" i="74"/>
  <c r="AC125" i="74"/>
  <c r="AB125" i="74"/>
  <c r="AA125" i="74"/>
  <c r="Y125" i="74"/>
  <c r="X125" i="74"/>
  <c r="W125" i="74"/>
  <c r="Z125" i="74" s="1"/>
  <c r="AC124" i="74"/>
  <c r="AB124" i="74"/>
  <c r="AA124" i="74"/>
  <c r="Y124" i="74"/>
  <c r="X124" i="74"/>
  <c r="W124" i="74"/>
  <c r="Z124" i="74" s="1"/>
  <c r="AD124" i="74" s="1"/>
  <c r="AC123" i="74"/>
  <c r="AB123" i="74"/>
  <c r="AA123" i="74"/>
  <c r="Y123" i="74"/>
  <c r="X123" i="74"/>
  <c r="W123" i="74"/>
  <c r="Z123" i="74" s="1"/>
  <c r="AD123" i="74" s="1"/>
  <c r="AC122" i="74"/>
  <c r="AB122" i="74"/>
  <c r="AA122" i="74"/>
  <c r="Y122" i="74"/>
  <c r="X122" i="74"/>
  <c r="W122" i="74"/>
  <c r="AC121" i="74"/>
  <c r="AB121" i="74"/>
  <c r="AA121" i="74"/>
  <c r="Y121" i="74"/>
  <c r="X121" i="74"/>
  <c r="W121" i="74"/>
  <c r="Z121" i="74" s="1"/>
  <c r="AC120" i="74"/>
  <c r="AB120" i="74"/>
  <c r="AA120" i="74"/>
  <c r="Y120" i="74"/>
  <c r="X120" i="74"/>
  <c r="W120" i="74"/>
  <c r="Z120" i="74" s="1"/>
  <c r="AD120" i="74" s="1"/>
  <c r="AC119" i="74"/>
  <c r="AB119" i="74"/>
  <c r="AA119" i="74"/>
  <c r="Y119" i="74"/>
  <c r="X119" i="74"/>
  <c r="W119" i="74"/>
  <c r="Z119" i="74" s="1"/>
  <c r="AD119" i="74" s="1"/>
  <c r="AC118" i="74"/>
  <c r="AB118" i="74"/>
  <c r="AA118" i="74"/>
  <c r="Y118" i="74"/>
  <c r="X118" i="74"/>
  <c r="W118" i="74"/>
  <c r="AC117" i="74"/>
  <c r="AB117" i="74"/>
  <c r="AA117" i="74"/>
  <c r="Y117" i="74"/>
  <c r="X117" i="74"/>
  <c r="W117" i="74"/>
  <c r="Z117" i="74" s="1"/>
  <c r="AC116" i="74"/>
  <c r="AB116" i="74"/>
  <c r="AA116" i="74"/>
  <c r="Y116" i="74"/>
  <c r="X116" i="74"/>
  <c r="W116" i="74"/>
  <c r="Z116" i="74" s="1"/>
  <c r="AD116" i="74" s="1"/>
  <c r="AC115" i="74"/>
  <c r="AB115" i="74"/>
  <c r="AA115" i="74"/>
  <c r="Y115" i="74"/>
  <c r="X115" i="74"/>
  <c r="W115" i="74"/>
  <c r="Z115" i="74" s="1"/>
  <c r="AD115" i="74" s="1"/>
  <c r="AC114" i="74"/>
  <c r="AB114" i="74"/>
  <c r="AA114" i="74"/>
  <c r="Y114" i="74"/>
  <c r="X114" i="74"/>
  <c r="W114" i="74"/>
  <c r="AC113" i="74"/>
  <c r="AB113" i="74"/>
  <c r="AA113" i="74"/>
  <c r="Y113" i="74"/>
  <c r="X113" i="74"/>
  <c r="W113" i="74"/>
  <c r="Z113" i="74" s="1"/>
  <c r="AC112" i="74"/>
  <c r="AB112" i="74"/>
  <c r="AA112" i="74"/>
  <c r="Y112" i="74"/>
  <c r="X112" i="74"/>
  <c r="W112" i="74"/>
  <c r="Z112" i="74" s="1"/>
  <c r="AD112" i="74" s="1"/>
  <c r="AC111" i="74"/>
  <c r="AB111" i="74"/>
  <c r="AA111" i="74"/>
  <c r="Y111" i="74"/>
  <c r="X111" i="74"/>
  <c r="W111" i="74"/>
  <c r="Z111" i="74" s="1"/>
  <c r="AD111" i="74" s="1"/>
  <c r="AC110" i="74"/>
  <c r="AB110" i="74"/>
  <c r="AA110" i="74"/>
  <c r="Y110" i="74"/>
  <c r="X110" i="74"/>
  <c r="W110" i="74"/>
  <c r="AC109" i="74"/>
  <c r="AB109" i="74"/>
  <c r="AA109" i="74"/>
  <c r="Y109" i="74"/>
  <c r="X109" i="74"/>
  <c r="W109" i="74"/>
  <c r="Z109" i="74" s="1"/>
  <c r="AC108" i="74"/>
  <c r="AB108" i="74"/>
  <c r="AA108" i="74"/>
  <c r="Y108" i="74"/>
  <c r="X108" i="74"/>
  <c r="W108" i="74"/>
  <c r="Z108" i="74" s="1"/>
  <c r="AD108" i="74" s="1"/>
  <c r="AC107" i="74"/>
  <c r="AB107" i="74"/>
  <c r="AA107" i="74"/>
  <c r="Y107" i="74"/>
  <c r="X107" i="74"/>
  <c r="W107" i="74"/>
  <c r="Z107" i="74" s="1"/>
  <c r="AD107" i="74" s="1"/>
  <c r="AC106" i="74"/>
  <c r="AB106" i="74"/>
  <c r="AA106" i="74"/>
  <c r="Y106" i="74"/>
  <c r="X106" i="74"/>
  <c r="W106" i="74"/>
  <c r="AC105" i="74"/>
  <c r="AB105" i="74"/>
  <c r="AA105" i="74"/>
  <c r="Y105" i="74"/>
  <c r="X105" i="74"/>
  <c r="W105" i="74"/>
  <c r="Z105" i="74" s="1"/>
  <c r="AC104" i="74"/>
  <c r="AB104" i="74"/>
  <c r="AA104" i="74"/>
  <c r="Y104" i="74"/>
  <c r="X104" i="74"/>
  <c r="W104" i="74"/>
  <c r="Z104" i="74" s="1"/>
  <c r="AD104" i="74" s="1"/>
  <c r="AC103" i="74"/>
  <c r="AB103" i="74"/>
  <c r="AA103" i="74"/>
  <c r="Y103" i="74"/>
  <c r="X103" i="74"/>
  <c r="W103" i="74"/>
  <c r="Z103" i="74" s="1"/>
  <c r="AD103" i="74" s="1"/>
  <c r="AC102" i="74"/>
  <c r="AB102" i="74"/>
  <c r="AA102" i="74"/>
  <c r="Y102" i="74"/>
  <c r="X102" i="74"/>
  <c r="W102" i="74"/>
  <c r="AC101" i="74"/>
  <c r="AB101" i="74"/>
  <c r="AA101" i="74"/>
  <c r="Y101" i="74"/>
  <c r="X101" i="74"/>
  <c r="W101" i="74"/>
  <c r="Z101" i="74" s="1"/>
  <c r="AC100" i="74"/>
  <c r="AB100" i="74"/>
  <c r="AA100" i="74"/>
  <c r="Y100" i="74"/>
  <c r="X100" i="74"/>
  <c r="W100" i="74"/>
  <c r="Z100" i="74" s="1"/>
  <c r="AD100" i="74" s="1"/>
  <c r="AC99" i="74"/>
  <c r="AB99" i="74"/>
  <c r="AA99" i="74"/>
  <c r="Y99" i="74"/>
  <c r="X99" i="74"/>
  <c r="W99" i="74"/>
  <c r="Z99" i="74" s="1"/>
  <c r="AD99" i="74" s="1"/>
  <c r="AC98" i="74"/>
  <c r="AB98" i="74"/>
  <c r="AA98" i="74"/>
  <c r="Y98" i="74"/>
  <c r="X98" i="74"/>
  <c r="W98" i="74"/>
  <c r="AC97" i="74"/>
  <c r="AD97" i="74" s="1"/>
  <c r="AB97" i="74"/>
  <c r="AA97" i="74"/>
  <c r="AC96" i="74"/>
  <c r="AB96" i="74"/>
  <c r="AA96" i="74"/>
  <c r="Y96" i="74"/>
  <c r="X96" i="74"/>
  <c r="Z96" i="74" s="1"/>
  <c r="AD96" i="74" s="1"/>
  <c r="W96" i="74"/>
  <c r="AC95" i="74"/>
  <c r="AB95" i="74"/>
  <c r="AA95" i="74"/>
  <c r="Y95" i="74"/>
  <c r="X95" i="74"/>
  <c r="W95" i="74"/>
  <c r="Y94" i="74"/>
  <c r="X94" i="74"/>
  <c r="W94" i="74"/>
  <c r="Z94" i="74" s="1"/>
  <c r="A92" i="74"/>
  <c r="AC91" i="74"/>
  <c r="AB91" i="74"/>
  <c r="AA91" i="74"/>
  <c r="Y91" i="74"/>
  <c r="X91" i="74"/>
  <c r="W91" i="74"/>
  <c r="Z91" i="74" s="1"/>
  <c r="B91" i="74"/>
  <c r="A91" i="74"/>
  <c r="AC90" i="74"/>
  <c r="AB90" i="74"/>
  <c r="AA90" i="74"/>
  <c r="Z90" i="74"/>
  <c r="B90" i="74"/>
  <c r="A90" i="74"/>
  <c r="AC89" i="74"/>
  <c r="AB89" i="74"/>
  <c r="AA89" i="74"/>
  <c r="Z89" i="74"/>
  <c r="B89" i="74"/>
  <c r="A89" i="74"/>
  <c r="AC88" i="74"/>
  <c r="AB88" i="74"/>
  <c r="AA88" i="74"/>
  <c r="Z88" i="74"/>
  <c r="B88" i="74"/>
  <c r="A88" i="74"/>
  <c r="AC87" i="74"/>
  <c r="AB87" i="74"/>
  <c r="AA87" i="74"/>
  <c r="Z87" i="74"/>
  <c r="B87" i="74"/>
  <c r="A87" i="74"/>
  <c r="AC86" i="74"/>
  <c r="AB86" i="74"/>
  <c r="AA86" i="74"/>
  <c r="Z86" i="74"/>
  <c r="B86" i="74"/>
  <c r="A86" i="74"/>
  <c r="AC85" i="74"/>
  <c r="AB85" i="74"/>
  <c r="AA85" i="74"/>
  <c r="Z85" i="74"/>
  <c r="B85" i="74"/>
  <c r="A85" i="74"/>
  <c r="AC84" i="74"/>
  <c r="AB84" i="74"/>
  <c r="AA84" i="74"/>
  <c r="Z84" i="74"/>
  <c r="B84" i="74"/>
  <c r="A84" i="74"/>
  <c r="AC83" i="74"/>
  <c r="AB83" i="74"/>
  <c r="AA83" i="74"/>
  <c r="Z83" i="74"/>
  <c r="B83" i="74"/>
  <c r="A83" i="74"/>
  <c r="AC82" i="74"/>
  <c r="AB82" i="74"/>
  <c r="AA82" i="74"/>
  <c r="Z82" i="74"/>
  <c r="B82" i="74"/>
  <c r="A82" i="74"/>
  <c r="AC81" i="74"/>
  <c r="AB81" i="74"/>
  <c r="AA81" i="74"/>
  <c r="Z81" i="74"/>
  <c r="B81" i="74"/>
  <c r="A81" i="74"/>
  <c r="AC80" i="74"/>
  <c r="AB80" i="74"/>
  <c r="AA80" i="74"/>
  <c r="Z80" i="74"/>
  <c r="B80" i="74"/>
  <c r="A80" i="74"/>
  <c r="AC79" i="74"/>
  <c r="AB79" i="74"/>
  <c r="AA79" i="74"/>
  <c r="Z79" i="74"/>
  <c r="B79" i="74"/>
  <c r="A79" i="74"/>
  <c r="AC78" i="74"/>
  <c r="AB78" i="74"/>
  <c r="AA78" i="74"/>
  <c r="Z78" i="74"/>
  <c r="B78" i="74"/>
  <c r="A78" i="74"/>
  <c r="AC77" i="74"/>
  <c r="AB77" i="74"/>
  <c r="AA77" i="74"/>
  <c r="Z77" i="74"/>
  <c r="B77" i="74"/>
  <c r="A77" i="74"/>
  <c r="AC76" i="74"/>
  <c r="AB76" i="74"/>
  <c r="AA76" i="74"/>
  <c r="Z76" i="74"/>
  <c r="B76" i="74"/>
  <c r="A76" i="74"/>
  <c r="AC75" i="74"/>
  <c r="AB75" i="74"/>
  <c r="AA75" i="74"/>
  <c r="Z75" i="74"/>
  <c r="B75" i="74"/>
  <c r="A75" i="74"/>
  <c r="AC74" i="74"/>
  <c r="AB74" i="74"/>
  <c r="AA74" i="74"/>
  <c r="Z74" i="74"/>
  <c r="B74" i="74"/>
  <c r="A74" i="74"/>
  <c r="AC73" i="74"/>
  <c r="AB73" i="74"/>
  <c r="AA73" i="74"/>
  <c r="Z73" i="74"/>
  <c r="B73" i="74"/>
  <c r="A73" i="74"/>
  <c r="A72" i="74"/>
  <c r="AC71" i="74"/>
  <c r="AB71" i="74"/>
  <c r="AA71" i="74"/>
  <c r="Y71" i="74"/>
  <c r="X71" i="74"/>
  <c r="W71" i="74"/>
  <c r="Z71" i="74" s="1"/>
  <c r="B71" i="74"/>
  <c r="A71" i="74"/>
  <c r="AC70" i="74"/>
  <c r="AB70" i="74"/>
  <c r="AA70" i="74"/>
  <c r="Z70" i="74"/>
  <c r="B70" i="74"/>
  <c r="A70" i="74"/>
  <c r="AC69" i="74"/>
  <c r="AB69" i="74"/>
  <c r="AA69" i="74"/>
  <c r="Z69" i="74"/>
  <c r="B69" i="74"/>
  <c r="A69" i="74"/>
  <c r="AC68" i="74"/>
  <c r="AB68" i="74"/>
  <c r="AA68" i="74"/>
  <c r="Z68" i="74"/>
  <c r="B68" i="74"/>
  <c r="A68" i="74"/>
  <c r="AC67" i="74"/>
  <c r="AB67" i="74"/>
  <c r="AA67" i="74"/>
  <c r="Z67" i="74"/>
  <c r="B67" i="74"/>
  <c r="A67" i="74"/>
  <c r="AC66" i="74"/>
  <c r="AB66" i="74"/>
  <c r="AA66" i="74"/>
  <c r="Z66" i="74"/>
  <c r="B66" i="74"/>
  <c r="A66" i="74"/>
  <c r="AC65" i="74"/>
  <c r="AB65" i="74"/>
  <c r="AA65" i="74"/>
  <c r="Z65" i="74"/>
  <c r="B65" i="74"/>
  <c r="A65" i="74"/>
  <c r="AC64" i="74"/>
  <c r="AB64" i="74"/>
  <c r="AA64" i="74"/>
  <c r="Z64" i="74"/>
  <c r="B64" i="74"/>
  <c r="A64" i="74"/>
  <c r="AC63" i="74"/>
  <c r="AB63" i="74"/>
  <c r="AA63" i="74"/>
  <c r="Z63" i="74"/>
  <c r="B63" i="74"/>
  <c r="A63" i="74"/>
  <c r="AC62" i="74"/>
  <c r="AB62" i="74"/>
  <c r="AA62" i="74"/>
  <c r="Z62" i="74"/>
  <c r="B62" i="74"/>
  <c r="A62" i="74"/>
  <c r="AC61" i="74"/>
  <c r="AB61" i="74"/>
  <c r="AA61" i="74"/>
  <c r="Z61" i="74"/>
  <c r="B61" i="74"/>
  <c r="A61" i="74"/>
  <c r="AC60" i="74"/>
  <c r="AB60" i="74"/>
  <c r="AA60" i="74"/>
  <c r="Z60" i="74"/>
  <c r="B60" i="74"/>
  <c r="A60" i="74"/>
  <c r="AC59" i="74"/>
  <c r="AB59" i="74"/>
  <c r="AA59" i="74"/>
  <c r="Z59" i="74"/>
  <c r="B59" i="74"/>
  <c r="A59" i="74"/>
  <c r="AC58" i="74"/>
  <c r="AB58" i="74"/>
  <c r="AA58" i="74"/>
  <c r="Z58" i="74"/>
  <c r="B58" i="74"/>
  <c r="A58" i="74"/>
  <c r="A57" i="74"/>
  <c r="AC56" i="74"/>
  <c r="AB56" i="74"/>
  <c r="AA56" i="74"/>
  <c r="Y56" i="74"/>
  <c r="X56" i="74"/>
  <c r="W56" i="74"/>
  <c r="Z56" i="74" s="1"/>
  <c r="B56" i="74"/>
  <c r="A56" i="74"/>
  <c r="AC55" i="74"/>
  <c r="AB55" i="74"/>
  <c r="AA55" i="74"/>
  <c r="Z55" i="74"/>
  <c r="B55" i="74"/>
  <c r="A55" i="74"/>
  <c r="AC54" i="74"/>
  <c r="AB54" i="74"/>
  <c r="AA54" i="74"/>
  <c r="Z54" i="74"/>
  <c r="B54" i="74"/>
  <c r="A54" i="74"/>
  <c r="AC53" i="74"/>
  <c r="AB53" i="74"/>
  <c r="AA53" i="74"/>
  <c r="Z53" i="74"/>
  <c r="B53" i="74"/>
  <c r="A53" i="74"/>
  <c r="AC52" i="74"/>
  <c r="AB52" i="74"/>
  <c r="AA52" i="74"/>
  <c r="Z52" i="74"/>
  <c r="B52" i="74"/>
  <c r="A52" i="74"/>
  <c r="AC51" i="74"/>
  <c r="AB51" i="74"/>
  <c r="AA51" i="74"/>
  <c r="Z51" i="74"/>
  <c r="B51" i="74"/>
  <c r="A51" i="74"/>
  <c r="AC50" i="74"/>
  <c r="AB50" i="74"/>
  <c r="AA50" i="74"/>
  <c r="Z50" i="74"/>
  <c r="B50" i="74"/>
  <c r="A50" i="74"/>
  <c r="AC49" i="74"/>
  <c r="AB49" i="74"/>
  <c r="AA49" i="74"/>
  <c r="Z49" i="74"/>
  <c r="B49" i="74"/>
  <c r="A49" i="74"/>
  <c r="AC48" i="74"/>
  <c r="AB48" i="74"/>
  <c r="AA48" i="74"/>
  <c r="Z48" i="74"/>
  <c r="B48" i="74"/>
  <c r="A48" i="74"/>
  <c r="AC47" i="74"/>
  <c r="AB47" i="74"/>
  <c r="AA47" i="74"/>
  <c r="Z47" i="74"/>
  <c r="B47" i="74"/>
  <c r="A47" i="74"/>
  <c r="AC46" i="74"/>
  <c r="AB46" i="74"/>
  <c r="AA46" i="74"/>
  <c r="Z46" i="74"/>
  <c r="B46" i="74"/>
  <c r="A46" i="74"/>
  <c r="AC45" i="74"/>
  <c r="AB45" i="74"/>
  <c r="AA45" i="74"/>
  <c r="Z45" i="74"/>
  <c r="B45" i="74"/>
  <c r="A45" i="74"/>
  <c r="AC44" i="74"/>
  <c r="AB44" i="74"/>
  <c r="AA44" i="74"/>
  <c r="Z44" i="74"/>
  <c r="B44" i="74"/>
  <c r="A44" i="74"/>
  <c r="AC43" i="74"/>
  <c r="AB43" i="74"/>
  <c r="AA43" i="74"/>
  <c r="Z43" i="74"/>
  <c r="B43" i="74"/>
  <c r="A43" i="74"/>
  <c r="AC42" i="74"/>
  <c r="AB42" i="74"/>
  <c r="AA42" i="74"/>
  <c r="Z42" i="74"/>
  <c r="B42" i="74"/>
  <c r="A42" i="74"/>
  <c r="AC41" i="74"/>
  <c r="AB41" i="74"/>
  <c r="AA41" i="74"/>
  <c r="Z41" i="74"/>
  <c r="B41" i="74"/>
  <c r="A41" i="74"/>
  <c r="AC40" i="74"/>
  <c r="AB40" i="74"/>
  <c r="AA40" i="74"/>
  <c r="Z40" i="74"/>
  <c r="B40" i="74"/>
  <c r="A40" i="74"/>
  <c r="AC39" i="74"/>
  <c r="AB39" i="74"/>
  <c r="AA39" i="74"/>
  <c r="Z39" i="74"/>
  <c r="B39" i="74"/>
  <c r="A39" i="74"/>
  <c r="AC38" i="74"/>
  <c r="AB38" i="74"/>
  <c r="AA38" i="74"/>
  <c r="Z38" i="74"/>
  <c r="B38" i="74"/>
  <c r="A38" i="74"/>
  <c r="AC37" i="74"/>
  <c r="AB37" i="74"/>
  <c r="AA37" i="74"/>
  <c r="Z37" i="74"/>
  <c r="B37" i="74"/>
  <c r="A37" i="74"/>
  <c r="AC36" i="74"/>
  <c r="AB36" i="74"/>
  <c r="AA36" i="74"/>
  <c r="Z36" i="74"/>
  <c r="B36" i="74"/>
  <c r="A36" i="74"/>
  <c r="AC35" i="74"/>
  <c r="AB35" i="74"/>
  <c r="AA35" i="74"/>
  <c r="Z35" i="74"/>
  <c r="B35" i="74"/>
  <c r="A35" i="74"/>
  <c r="AC34" i="74"/>
  <c r="AB34" i="74"/>
  <c r="AA34" i="74"/>
  <c r="Z34" i="74"/>
  <c r="B34" i="74"/>
  <c r="A34" i="74"/>
  <c r="AC33" i="74"/>
  <c r="AB33" i="74"/>
  <c r="AA33" i="74"/>
  <c r="Z33" i="74"/>
  <c r="B33" i="74"/>
  <c r="A33" i="74"/>
  <c r="AC32" i="74"/>
  <c r="AB32" i="74"/>
  <c r="AA32" i="74"/>
  <c r="Z32" i="74"/>
  <c r="B32" i="74"/>
  <c r="A32" i="74"/>
  <c r="AC31" i="74"/>
  <c r="AB31" i="74"/>
  <c r="AA31" i="74"/>
  <c r="Z31" i="74"/>
  <c r="B31" i="74"/>
  <c r="A31" i="74"/>
  <c r="AC30" i="74"/>
  <c r="AB30" i="74"/>
  <c r="AA30" i="74"/>
  <c r="Z30" i="74"/>
  <c r="B30" i="74"/>
  <c r="A30" i="74"/>
  <c r="AC29" i="74"/>
  <c r="AB29" i="74"/>
  <c r="AA29" i="74"/>
  <c r="Z29" i="74"/>
  <c r="B29" i="74"/>
  <c r="A29" i="74"/>
  <c r="AC28" i="74"/>
  <c r="AB28" i="74"/>
  <c r="AA28" i="74"/>
  <c r="Z28" i="74"/>
  <c r="B28" i="74"/>
  <c r="A28" i="74"/>
  <c r="AC27" i="74"/>
  <c r="AB27" i="74"/>
  <c r="AA27" i="74"/>
  <c r="Z27" i="74"/>
  <c r="B27" i="74"/>
  <c r="A27" i="74"/>
  <c r="AC26" i="74"/>
  <c r="AB26" i="74"/>
  <c r="AA26" i="74"/>
  <c r="Z26" i="74"/>
  <c r="B26" i="74"/>
  <c r="A26" i="74"/>
  <c r="AC25" i="74"/>
  <c r="AB25" i="74"/>
  <c r="AA25" i="74"/>
  <c r="Z25" i="74"/>
  <c r="B25" i="74"/>
  <c r="A25" i="74"/>
  <c r="AC24" i="74"/>
  <c r="AB24" i="74"/>
  <c r="AA24" i="74"/>
  <c r="Z24" i="74"/>
  <c r="B24" i="74"/>
  <c r="A24" i="74"/>
  <c r="AC23" i="74"/>
  <c r="AB23" i="74"/>
  <c r="AA23" i="74"/>
  <c r="Z23" i="74"/>
  <c r="B23" i="74"/>
  <c r="A23" i="74"/>
  <c r="AC22" i="74"/>
  <c r="AB22" i="74"/>
  <c r="AA22" i="74"/>
  <c r="Z22" i="74"/>
  <c r="B22" i="74"/>
  <c r="A22" i="74"/>
  <c r="AC21" i="74"/>
  <c r="AB21" i="74"/>
  <c r="AA21" i="74"/>
  <c r="Z21" i="74"/>
  <c r="B21" i="74"/>
  <c r="A21" i="74"/>
  <c r="AC20" i="74"/>
  <c r="AB20" i="74"/>
  <c r="AA20" i="74"/>
  <c r="Z20" i="74"/>
  <c r="B20" i="74"/>
  <c r="A20" i="74"/>
  <c r="AC19" i="74"/>
  <c r="AB19" i="74"/>
  <c r="AA19" i="74"/>
  <c r="Z19" i="74"/>
  <c r="B19" i="74"/>
  <c r="A19" i="74"/>
  <c r="AC18" i="74"/>
  <c r="AB18" i="74"/>
  <c r="AA18" i="74"/>
  <c r="Z18" i="74"/>
  <c r="B18" i="74"/>
  <c r="A18" i="74"/>
  <c r="AC17" i="74"/>
  <c r="AB17" i="74"/>
  <c r="AA17" i="74"/>
  <c r="Z17" i="74"/>
  <c r="B17" i="74"/>
  <c r="A17" i="74"/>
  <c r="AC16" i="74"/>
  <c r="AB16" i="74"/>
  <c r="AA16" i="74"/>
  <c r="Z16" i="74"/>
  <c r="B16" i="74"/>
  <c r="A16" i="74"/>
  <c r="AC15" i="74"/>
  <c r="AB15" i="74"/>
  <c r="AA15" i="74"/>
  <c r="Z15" i="74"/>
  <c r="B15" i="74"/>
  <c r="A15" i="74"/>
  <c r="AC14" i="74"/>
  <c r="AB14" i="74"/>
  <c r="AA14" i="74"/>
  <c r="Z14" i="74"/>
  <c r="B14" i="74"/>
  <c r="A14" i="74"/>
  <c r="AC13" i="74"/>
  <c r="AB13" i="74"/>
  <c r="AA13" i="74"/>
  <c r="Z13" i="74"/>
  <c r="B13" i="74"/>
  <c r="A13" i="74"/>
  <c r="AC12" i="74"/>
  <c r="AB12" i="74"/>
  <c r="AA12" i="74"/>
  <c r="Z12" i="74"/>
  <c r="B12" i="74"/>
  <c r="A12" i="74"/>
  <c r="AC11" i="74"/>
  <c r="AB11" i="74"/>
  <c r="AA11" i="74"/>
  <c r="Z11" i="74"/>
  <c r="B11" i="74"/>
  <c r="A11" i="74"/>
  <c r="AC10" i="74"/>
  <c r="AB10" i="74"/>
  <c r="AA10" i="74"/>
  <c r="Z10" i="74"/>
  <c r="B10" i="74"/>
  <c r="A10" i="74"/>
  <c r="AC9" i="74"/>
  <c r="AB9" i="74"/>
  <c r="AA9" i="74"/>
  <c r="Z9" i="74"/>
  <c r="B9" i="74"/>
  <c r="A9" i="74"/>
  <c r="AC8" i="74"/>
  <c r="AB8" i="74"/>
  <c r="AA8" i="74"/>
  <c r="Z8" i="74"/>
  <c r="B8" i="74"/>
  <c r="A8" i="74"/>
  <c r="AC7" i="74"/>
  <c r="AB7" i="74"/>
  <c r="AA7" i="74"/>
  <c r="Z7" i="74"/>
  <c r="B7" i="74"/>
  <c r="A7" i="74"/>
  <c r="X5" i="74"/>
  <c r="W5" i="74"/>
  <c r="AD4" i="74"/>
  <c r="S177" i="73"/>
  <c r="N177" i="73"/>
  <c r="F177" i="73"/>
  <c r="D177" i="73"/>
  <c r="C177" i="73"/>
  <c r="AC176" i="73"/>
  <c r="AD176" i="73" s="1"/>
  <c r="AB176" i="73"/>
  <c r="AA176" i="73"/>
  <c r="Y176" i="73"/>
  <c r="X176" i="73"/>
  <c r="W176" i="73"/>
  <c r="AC175" i="73"/>
  <c r="AD175" i="73" s="1"/>
  <c r="AB175" i="73"/>
  <c r="AA175" i="73"/>
  <c r="Y175" i="73"/>
  <c r="X175" i="73"/>
  <c r="W175" i="73"/>
  <c r="AD174" i="73"/>
  <c r="AC174" i="73"/>
  <c r="AB174" i="73"/>
  <c r="AA174" i="73"/>
  <c r="Y174" i="73"/>
  <c r="X174" i="73"/>
  <c r="W174" i="73"/>
  <c r="AC173" i="73"/>
  <c r="AB173" i="73"/>
  <c r="AA173" i="73"/>
  <c r="Y173" i="73"/>
  <c r="X173" i="73"/>
  <c r="W173" i="73"/>
  <c r="AC172" i="73"/>
  <c r="AD172" i="73" s="1"/>
  <c r="AB172" i="73"/>
  <c r="AA172" i="73"/>
  <c r="Y172" i="73"/>
  <c r="X172" i="73"/>
  <c r="W172" i="73"/>
  <c r="AC171" i="73"/>
  <c r="AB171" i="73"/>
  <c r="AA171" i="73"/>
  <c r="Y171" i="73"/>
  <c r="X171" i="73"/>
  <c r="W171" i="73"/>
  <c r="AC170" i="73"/>
  <c r="AB170" i="73"/>
  <c r="AA170" i="73"/>
  <c r="Y170" i="73"/>
  <c r="X170" i="73"/>
  <c r="W170" i="73"/>
  <c r="AC169" i="73"/>
  <c r="AB169" i="73"/>
  <c r="AA169" i="73"/>
  <c r="Y169" i="73"/>
  <c r="X169" i="73"/>
  <c r="W169" i="73"/>
  <c r="AC168" i="73"/>
  <c r="AD168" i="73" s="1"/>
  <c r="AB168" i="73"/>
  <c r="AA168" i="73"/>
  <c r="Y168" i="73"/>
  <c r="X168" i="73"/>
  <c r="W168" i="73"/>
  <c r="AC167" i="73"/>
  <c r="AB167" i="73"/>
  <c r="AA167" i="73"/>
  <c r="Y167" i="73"/>
  <c r="X167" i="73"/>
  <c r="W167" i="73"/>
  <c r="AD166" i="73"/>
  <c r="AC166" i="73"/>
  <c r="AB166" i="73"/>
  <c r="AA166" i="73"/>
  <c r="Y166" i="73"/>
  <c r="X166" i="73"/>
  <c r="W166" i="73"/>
  <c r="AC165" i="73"/>
  <c r="AD165" i="73" s="1"/>
  <c r="AB165" i="73"/>
  <c r="AA165" i="73"/>
  <c r="Y165" i="73"/>
  <c r="X165" i="73"/>
  <c r="W165" i="73"/>
  <c r="AC164" i="73"/>
  <c r="AD164" i="73" s="1"/>
  <c r="AB164" i="73"/>
  <c r="AA164" i="73"/>
  <c r="Y164" i="73"/>
  <c r="X164" i="73"/>
  <c r="W164" i="73"/>
  <c r="AC163" i="73"/>
  <c r="AB163" i="73"/>
  <c r="AA163" i="73"/>
  <c r="Y163" i="73"/>
  <c r="X163" i="73"/>
  <c r="W163" i="73"/>
  <c r="AC162" i="73"/>
  <c r="AB162" i="73"/>
  <c r="AA162" i="73"/>
  <c r="Y162" i="73"/>
  <c r="X162" i="73"/>
  <c r="W162" i="73"/>
  <c r="AC161" i="73"/>
  <c r="AD161" i="73" s="1"/>
  <c r="AB161" i="73"/>
  <c r="AA161" i="73"/>
  <c r="Y161" i="73"/>
  <c r="X161" i="73"/>
  <c r="W161" i="73"/>
  <c r="AC160" i="73"/>
  <c r="AD160" i="73" s="1"/>
  <c r="AB160" i="73"/>
  <c r="AA160" i="73"/>
  <c r="Y160" i="73"/>
  <c r="X160" i="73"/>
  <c r="W160" i="73"/>
  <c r="AC159" i="73"/>
  <c r="AD159" i="73" s="1"/>
  <c r="AB159" i="73"/>
  <c r="AA159" i="73"/>
  <c r="Y159" i="73"/>
  <c r="X159" i="73"/>
  <c r="W159" i="73"/>
  <c r="AD158" i="73"/>
  <c r="AC158" i="73"/>
  <c r="AB158" i="73"/>
  <c r="AA158" i="73"/>
  <c r="Y158" i="73"/>
  <c r="X158" i="73"/>
  <c r="W158" i="73"/>
  <c r="AC157" i="73"/>
  <c r="AB157" i="73"/>
  <c r="AA157" i="73"/>
  <c r="Y157" i="73"/>
  <c r="X157" i="73"/>
  <c r="W157" i="73"/>
  <c r="AC156" i="73"/>
  <c r="AB156" i="73"/>
  <c r="AA156" i="73"/>
  <c r="Y156" i="73"/>
  <c r="X156" i="73"/>
  <c r="W156" i="73"/>
  <c r="Z156" i="73" s="1"/>
  <c r="AC155" i="73"/>
  <c r="AB155" i="73"/>
  <c r="AA155" i="73"/>
  <c r="Y155" i="73"/>
  <c r="X155" i="73"/>
  <c r="W155" i="73"/>
  <c r="Z155" i="73" s="1"/>
  <c r="AC154" i="73"/>
  <c r="AB154" i="73"/>
  <c r="AA154" i="73"/>
  <c r="Y154" i="73"/>
  <c r="X154" i="73"/>
  <c r="W154" i="73"/>
  <c r="Z154" i="73" s="1"/>
  <c r="AD154" i="73" s="1"/>
  <c r="AC153" i="73"/>
  <c r="AB153" i="73"/>
  <c r="AA153" i="73"/>
  <c r="Y153" i="73"/>
  <c r="X153" i="73"/>
  <c r="W153" i="73"/>
  <c r="AC152" i="73"/>
  <c r="AB152" i="73"/>
  <c r="AA152" i="73"/>
  <c r="Y152" i="73"/>
  <c r="X152" i="73"/>
  <c r="W152" i="73"/>
  <c r="Z152" i="73" s="1"/>
  <c r="AC151" i="73"/>
  <c r="AB151" i="73"/>
  <c r="AA151" i="73"/>
  <c r="Y151" i="73"/>
  <c r="X151" i="73"/>
  <c r="W151" i="73"/>
  <c r="Z151" i="73" s="1"/>
  <c r="AC150" i="73"/>
  <c r="AB150" i="73"/>
  <c r="AA150" i="73"/>
  <c r="Y150" i="73"/>
  <c r="X150" i="73"/>
  <c r="W150" i="73"/>
  <c r="Z150" i="73" s="1"/>
  <c r="AD150" i="73" s="1"/>
  <c r="AC149" i="73"/>
  <c r="AB149" i="73"/>
  <c r="AA149" i="73"/>
  <c r="Y149" i="73"/>
  <c r="X149" i="73"/>
  <c r="W149" i="73"/>
  <c r="AC148" i="73"/>
  <c r="AB148" i="73"/>
  <c r="AA148" i="73"/>
  <c r="Y148" i="73"/>
  <c r="X148" i="73"/>
  <c r="W148" i="73"/>
  <c r="Z148" i="73" s="1"/>
  <c r="AC147" i="73"/>
  <c r="AB147" i="73"/>
  <c r="AA147" i="73"/>
  <c r="Y147" i="73"/>
  <c r="X147" i="73"/>
  <c r="W147" i="73"/>
  <c r="Z147" i="73" s="1"/>
  <c r="AC146" i="73"/>
  <c r="AB146" i="73"/>
  <c r="AA146" i="73"/>
  <c r="Y146" i="73"/>
  <c r="X146" i="73"/>
  <c r="W146" i="73"/>
  <c r="Z146" i="73" s="1"/>
  <c r="AD146" i="73" s="1"/>
  <c r="AC145" i="73"/>
  <c r="AB145" i="73"/>
  <c r="AA145" i="73"/>
  <c r="Y145" i="73"/>
  <c r="X145" i="73"/>
  <c r="W145" i="73"/>
  <c r="AC144" i="73"/>
  <c r="AB144" i="73"/>
  <c r="AA144" i="73"/>
  <c r="Y144" i="73"/>
  <c r="X144" i="73"/>
  <c r="W144" i="73"/>
  <c r="Z144" i="73" s="1"/>
  <c r="AC143" i="73"/>
  <c r="AB143" i="73"/>
  <c r="AA143" i="73"/>
  <c r="Y143" i="73"/>
  <c r="X143" i="73"/>
  <c r="W143" i="73"/>
  <c r="Z143" i="73" s="1"/>
  <c r="AC142" i="73"/>
  <c r="AB142" i="73"/>
  <c r="AA142" i="73"/>
  <c r="Y142" i="73"/>
  <c r="X142" i="73"/>
  <c r="W142" i="73"/>
  <c r="Z142" i="73" s="1"/>
  <c r="AD142" i="73" s="1"/>
  <c r="AC141" i="73"/>
  <c r="AB141" i="73"/>
  <c r="AA141" i="73"/>
  <c r="Y141" i="73"/>
  <c r="X141" i="73"/>
  <c r="W141" i="73"/>
  <c r="AC140" i="73"/>
  <c r="AB140" i="73"/>
  <c r="AA140" i="73"/>
  <c r="Y140" i="73"/>
  <c r="X140" i="73"/>
  <c r="W140" i="73"/>
  <c r="Z140" i="73" s="1"/>
  <c r="AC139" i="73"/>
  <c r="AB139" i="73"/>
  <c r="AA139" i="73"/>
  <c r="Y139" i="73"/>
  <c r="X139" i="73"/>
  <c r="W139" i="73"/>
  <c r="Z139" i="73" s="1"/>
  <c r="AC138" i="73"/>
  <c r="AB138" i="73"/>
  <c r="AA138" i="73"/>
  <c r="Y138" i="73"/>
  <c r="X138" i="73"/>
  <c r="W138" i="73"/>
  <c r="Z138" i="73" s="1"/>
  <c r="AD138" i="73" s="1"/>
  <c r="AC137" i="73"/>
  <c r="AB137" i="73"/>
  <c r="AA137" i="73"/>
  <c r="Y137" i="73"/>
  <c r="X137" i="73"/>
  <c r="W137" i="73"/>
  <c r="AC136" i="73"/>
  <c r="AB136" i="73"/>
  <c r="AA136" i="73"/>
  <c r="Y136" i="73"/>
  <c r="X136" i="73"/>
  <c r="W136" i="73"/>
  <c r="Z136" i="73" s="1"/>
  <c r="AC135" i="73"/>
  <c r="AB135" i="73"/>
  <c r="AA135" i="73"/>
  <c r="Y135" i="73"/>
  <c r="X135" i="73"/>
  <c r="W135" i="73"/>
  <c r="Z135" i="73" s="1"/>
  <c r="AC134" i="73"/>
  <c r="AB134" i="73"/>
  <c r="AA134" i="73"/>
  <c r="Y134" i="73"/>
  <c r="X134" i="73"/>
  <c r="W134" i="73"/>
  <c r="Z134" i="73" s="1"/>
  <c r="AD134" i="73" s="1"/>
  <c r="AC133" i="73"/>
  <c r="AB133" i="73"/>
  <c r="AA133" i="73"/>
  <c r="Y133" i="73"/>
  <c r="X133" i="73"/>
  <c r="W133" i="73"/>
  <c r="AC132" i="73"/>
  <c r="AB132" i="73"/>
  <c r="AA132" i="73"/>
  <c r="Y132" i="73"/>
  <c r="X132" i="73"/>
  <c r="W132" i="73"/>
  <c r="Z132" i="73" s="1"/>
  <c r="AC131" i="73"/>
  <c r="AB131" i="73"/>
  <c r="AA131" i="73"/>
  <c r="Y131" i="73"/>
  <c r="X131" i="73"/>
  <c r="W131" i="73"/>
  <c r="Z131" i="73" s="1"/>
  <c r="AC130" i="73"/>
  <c r="AB130" i="73"/>
  <c r="AA130" i="73"/>
  <c r="Y130" i="73"/>
  <c r="X130" i="73"/>
  <c r="W130" i="73"/>
  <c r="Z130" i="73" s="1"/>
  <c r="AD130" i="73" s="1"/>
  <c r="AC129" i="73"/>
  <c r="AB129" i="73"/>
  <c r="AA129" i="73"/>
  <c r="Y129" i="73"/>
  <c r="X129" i="73"/>
  <c r="W129" i="73"/>
  <c r="AC128" i="73"/>
  <c r="AB128" i="73"/>
  <c r="AA128" i="73"/>
  <c r="Y128" i="73"/>
  <c r="X128" i="73"/>
  <c r="W128" i="73"/>
  <c r="Z128" i="73" s="1"/>
  <c r="AC127" i="73"/>
  <c r="AB127" i="73"/>
  <c r="AA127" i="73"/>
  <c r="Y127" i="73"/>
  <c r="X127" i="73"/>
  <c r="W127" i="73"/>
  <c r="Z127" i="73" s="1"/>
  <c r="AC126" i="73"/>
  <c r="AD126" i="73" s="1"/>
  <c r="AB126" i="73"/>
  <c r="AA126" i="73"/>
  <c r="Y126" i="73"/>
  <c r="X126" i="73"/>
  <c r="W126" i="73"/>
  <c r="Z126" i="73" s="1"/>
  <c r="AC125" i="73"/>
  <c r="AB125" i="73"/>
  <c r="AA125" i="73"/>
  <c r="Y125" i="73"/>
  <c r="X125" i="73"/>
  <c r="W125" i="73"/>
  <c r="AC124" i="73"/>
  <c r="AB124" i="73"/>
  <c r="AA124" i="73"/>
  <c r="Y124" i="73"/>
  <c r="X124" i="73"/>
  <c r="W124" i="73"/>
  <c r="Z124" i="73" s="1"/>
  <c r="AC123" i="73"/>
  <c r="AB123" i="73"/>
  <c r="AA123" i="73"/>
  <c r="Y123" i="73"/>
  <c r="X123" i="73"/>
  <c r="W123" i="73"/>
  <c r="Z123" i="73" s="1"/>
  <c r="AD123" i="73" s="1"/>
  <c r="AC122" i="73"/>
  <c r="AB122" i="73"/>
  <c r="AA122" i="73"/>
  <c r="Y122" i="73"/>
  <c r="X122" i="73"/>
  <c r="W122" i="73"/>
  <c r="Z122" i="73" s="1"/>
  <c r="AD122" i="73" s="1"/>
  <c r="AD121" i="73"/>
  <c r="AC121" i="73"/>
  <c r="AB121" i="73"/>
  <c r="AA121" i="73"/>
  <c r="Y121" i="73"/>
  <c r="X121" i="73"/>
  <c r="W121" i="73"/>
  <c r="Z121" i="73" s="1"/>
  <c r="AC120" i="73"/>
  <c r="AB120" i="73"/>
  <c r="AA120" i="73"/>
  <c r="Y120" i="73"/>
  <c r="X120" i="73"/>
  <c r="W120" i="73"/>
  <c r="AC119" i="73"/>
  <c r="AB119" i="73"/>
  <c r="AA119" i="73"/>
  <c r="Y119" i="73"/>
  <c r="X119" i="73"/>
  <c r="W119" i="73"/>
  <c r="Z119" i="73" s="1"/>
  <c r="AC118" i="73"/>
  <c r="AD118" i="73" s="1"/>
  <c r="AB118" i="73"/>
  <c r="AA118" i="73"/>
  <c r="Y118" i="73"/>
  <c r="X118" i="73"/>
  <c r="W118" i="73"/>
  <c r="Z118" i="73" s="1"/>
  <c r="AC117" i="73"/>
  <c r="AD117" i="73" s="1"/>
  <c r="AB117" i="73"/>
  <c r="AA117" i="73"/>
  <c r="Y117" i="73"/>
  <c r="X117" i="73"/>
  <c r="W117" i="73"/>
  <c r="Z117" i="73" s="1"/>
  <c r="AC116" i="73"/>
  <c r="AB116" i="73"/>
  <c r="AA116" i="73"/>
  <c r="Y116" i="73"/>
  <c r="X116" i="73"/>
  <c r="W116" i="73"/>
  <c r="AC115" i="73"/>
  <c r="AB115" i="73"/>
  <c r="AA115" i="73"/>
  <c r="Y115" i="73"/>
  <c r="X115" i="73"/>
  <c r="W115" i="73"/>
  <c r="Z115" i="73" s="1"/>
  <c r="AD115" i="73" s="1"/>
  <c r="AC114" i="73"/>
  <c r="AB114" i="73"/>
  <c r="AA114" i="73"/>
  <c r="Y114" i="73"/>
  <c r="X114" i="73"/>
  <c r="W114" i="73"/>
  <c r="Z114" i="73" s="1"/>
  <c r="AD114" i="73" s="1"/>
  <c r="AD113" i="73"/>
  <c r="AC113" i="73"/>
  <c r="AB113" i="73"/>
  <c r="AA113" i="73"/>
  <c r="Y113" i="73"/>
  <c r="X113" i="73"/>
  <c r="W113" i="73"/>
  <c r="Z113" i="73" s="1"/>
  <c r="AC112" i="73"/>
  <c r="AB112" i="73"/>
  <c r="AA112" i="73"/>
  <c r="Y112" i="73"/>
  <c r="X112" i="73"/>
  <c r="W112" i="73"/>
  <c r="AC111" i="73"/>
  <c r="AB111" i="73"/>
  <c r="AA111" i="73"/>
  <c r="Y111" i="73"/>
  <c r="X111" i="73"/>
  <c r="W111" i="73"/>
  <c r="Z111" i="73" s="1"/>
  <c r="AC110" i="73"/>
  <c r="AB110" i="73"/>
  <c r="AA110" i="73"/>
  <c r="Y110" i="73"/>
  <c r="X110" i="73"/>
  <c r="W110" i="73"/>
  <c r="Z110" i="73" s="1"/>
  <c r="AC109" i="73"/>
  <c r="AD109" i="73" s="1"/>
  <c r="AB109" i="73"/>
  <c r="AA109" i="73"/>
  <c r="Y109" i="73"/>
  <c r="X109" i="73"/>
  <c r="W109" i="73"/>
  <c r="Z109" i="73" s="1"/>
  <c r="AC108" i="73"/>
  <c r="AB108" i="73"/>
  <c r="AA108" i="73"/>
  <c r="Y108" i="73"/>
  <c r="X108" i="73"/>
  <c r="W108" i="73"/>
  <c r="AC107" i="73"/>
  <c r="AB107" i="73"/>
  <c r="AA107" i="73"/>
  <c r="Y107" i="73"/>
  <c r="X107" i="73"/>
  <c r="W107" i="73"/>
  <c r="Z107" i="73" s="1"/>
  <c r="AD107" i="73" s="1"/>
  <c r="AC106" i="73"/>
  <c r="AB106" i="73"/>
  <c r="AA106" i="73"/>
  <c r="Y106" i="73"/>
  <c r="X106" i="73"/>
  <c r="W106" i="73"/>
  <c r="Z106" i="73" s="1"/>
  <c r="AD106" i="73" s="1"/>
  <c r="AD105" i="73"/>
  <c r="AC105" i="73"/>
  <c r="AB105" i="73"/>
  <c r="AA105" i="73"/>
  <c r="Y105" i="73"/>
  <c r="X105" i="73"/>
  <c r="W105" i="73"/>
  <c r="Z105" i="73" s="1"/>
  <c r="AC104" i="73"/>
  <c r="AD104" i="73" s="1"/>
  <c r="AB104" i="73"/>
  <c r="AA104" i="73"/>
  <c r="Y104" i="73"/>
  <c r="X104" i="73"/>
  <c r="W104" i="73"/>
  <c r="Z104" i="73" s="1"/>
  <c r="AC103" i="73"/>
  <c r="AB103" i="73"/>
  <c r="AA103" i="73"/>
  <c r="Y103" i="73"/>
  <c r="X103" i="73"/>
  <c r="W103" i="73"/>
  <c r="AC102" i="73"/>
  <c r="AB102" i="73"/>
  <c r="AA102" i="73"/>
  <c r="Y102" i="73"/>
  <c r="X102" i="73"/>
  <c r="W102" i="73"/>
  <c r="Z102" i="73" s="1"/>
  <c r="AC101" i="73"/>
  <c r="AD101" i="73" s="1"/>
  <c r="AB101" i="73"/>
  <c r="AA101" i="73"/>
  <c r="Y101" i="73"/>
  <c r="X101" i="73"/>
  <c r="W101" i="73"/>
  <c r="Z101" i="73" s="1"/>
  <c r="AC100" i="73"/>
  <c r="AD100" i="73" s="1"/>
  <c r="AB100" i="73"/>
  <c r="AA100" i="73"/>
  <c r="Y100" i="73"/>
  <c r="X100" i="73"/>
  <c r="W100" i="73"/>
  <c r="Z100" i="73" s="1"/>
  <c r="AC99" i="73"/>
  <c r="AB99" i="73"/>
  <c r="AA99" i="73"/>
  <c r="Y99" i="73"/>
  <c r="X99" i="73"/>
  <c r="W99" i="73"/>
  <c r="AC98" i="73"/>
  <c r="AB98" i="73"/>
  <c r="AA98" i="73"/>
  <c r="Y98" i="73"/>
  <c r="X98" i="73"/>
  <c r="W98" i="73"/>
  <c r="Z98" i="73" s="1"/>
  <c r="AD98" i="73" s="1"/>
  <c r="AD97" i="73"/>
  <c r="AC97" i="73"/>
  <c r="AB97" i="73"/>
  <c r="AA97" i="73"/>
  <c r="AC96" i="73"/>
  <c r="AB96" i="73"/>
  <c r="AA96" i="73"/>
  <c r="Y96" i="73"/>
  <c r="X96" i="73"/>
  <c r="W96" i="73"/>
  <c r="AC95" i="73"/>
  <c r="AB95" i="73"/>
  <c r="AA95" i="73"/>
  <c r="Y95" i="73"/>
  <c r="X95" i="73"/>
  <c r="W95" i="73"/>
  <c r="Y94" i="73"/>
  <c r="X94" i="73"/>
  <c r="W94" i="73"/>
  <c r="A92" i="73"/>
  <c r="AC91" i="73"/>
  <c r="AB91" i="73"/>
  <c r="AA91" i="73"/>
  <c r="Y91" i="73"/>
  <c r="X91" i="73"/>
  <c r="W91" i="73"/>
  <c r="Z91" i="73" s="1"/>
  <c r="B91" i="73"/>
  <c r="A91" i="73"/>
  <c r="AC90" i="73"/>
  <c r="AB90" i="73"/>
  <c r="AA90" i="73"/>
  <c r="Z90" i="73"/>
  <c r="B90" i="73"/>
  <c r="A90" i="73"/>
  <c r="AC89" i="73"/>
  <c r="AB89" i="73"/>
  <c r="AA89" i="73"/>
  <c r="Z89" i="73"/>
  <c r="B89" i="73"/>
  <c r="A89" i="73"/>
  <c r="AC88" i="73"/>
  <c r="AB88" i="73"/>
  <c r="AA88" i="73"/>
  <c r="Z88" i="73"/>
  <c r="B88" i="73"/>
  <c r="A88" i="73"/>
  <c r="AC87" i="73"/>
  <c r="AB87" i="73"/>
  <c r="AA87" i="73"/>
  <c r="Z87" i="73"/>
  <c r="B87" i="73"/>
  <c r="A87" i="73"/>
  <c r="AC86" i="73"/>
  <c r="AB86" i="73"/>
  <c r="AA86" i="73"/>
  <c r="Z86" i="73"/>
  <c r="B86" i="73"/>
  <c r="A86" i="73"/>
  <c r="AC85" i="73"/>
  <c r="AB85" i="73"/>
  <c r="AA85" i="73"/>
  <c r="Z85" i="73"/>
  <c r="B85" i="73"/>
  <c r="A85" i="73"/>
  <c r="AC84" i="73"/>
  <c r="AB84" i="73"/>
  <c r="AA84" i="73"/>
  <c r="Z84" i="73"/>
  <c r="B84" i="73"/>
  <c r="A84" i="73"/>
  <c r="AC83" i="73"/>
  <c r="AB83" i="73"/>
  <c r="AA83" i="73"/>
  <c r="Z83" i="73"/>
  <c r="B83" i="73"/>
  <c r="A83" i="73"/>
  <c r="AC82" i="73"/>
  <c r="AB82" i="73"/>
  <c r="AA82" i="73"/>
  <c r="Z82" i="73"/>
  <c r="B82" i="73"/>
  <c r="A82" i="73"/>
  <c r="AC81" i="73"/>
  <c r="AB81" i="73"/>
  <c r="AA81" i="73"/>
  <c r="Z81" i="73"/>
  <c r="B81" i="73"/>
  <c r="A81" i="73"/>
  <c r="AC80" i="73"/>
  <c r="AB80" i="73"/>
  <c r="AA80" i="73"/>
  <c r="Z80" i="73"/>
  <c r="B80" i="73"/>
  <c r="A80" i="73"/>
  <c r="AC79" i="73"/>
  <c r="AB79" i="73"/>
  <c r="AA79" i="73"/>
  <c r="Z79" i="73"/>
  <c r="B79" i="73"/>
  <c r="A79" i="73"/>
  <c r="AC78" i="73"/>
  <c r="AB78" i="73"/>
  <c r="AA78" i="73"/>
  <c r="Z78" i="73"/>
  <c r="B78" i="73"/>
  <c r="A78" i="73"/>
  <c r="AC77" i="73"/>
  <c r="AB77" i="73"/>
  <c r="AA77" i="73"/>
  <c r="Z77" i="73"/>
  <c r="B77" i="73"/>
  <c r="A77" i="73"/>
  <c r="AC76" i="73"/>
  <c r="AB76" i="73"/>
  <c r="AA76" i="73"/>
  <c r="Z76" i="73"/>
  <c r="B76" i="73"/>
  <c r="A76" i="73"/>
  <c r="AC75" i="73"/>
  <c r="AB75" i="73"/>
  <c r="AA75" i="73"/>
  <c r="Z75" i="73"/>
  <c r="B75" i="73"/>
  <c r="A75" i="73"/>
  <c r="AC74" i="73"/>
  <c r="AB74" i="73"/>
  <c r="AA74" i="73"/>
  <c r="Z74" i="73"/>
  <c r="B74" i="73"/>
  <c r="A74" i="73"/>
  <c r="AC73" i="73"/>
  <c r="AB73" i="73"/>
  <c r="AA73" i="73"/>
  <c r="Z73" i="73"/>
  <c r="B73" i="73"/>
  <c r="A73" i="73"/>
  <c r="A72" i="73"/>
  <c r="AC71" i="73"/>
  <c r="AB71" i="73"/>
  <c r="AA71" i="73"/>
  <c r="Y71" i="73"/>
  <c r="X71" i="73"/>
  <c r="W71" i="73"/>
  <c r="Z71" i="73" s="1"/>
  <c r="B71" i="73"/>
  <c r="A71" i="73"/>
  <c r="AC70" i="73"/>
  <c r="AB70" i="73"/>
  <c r="AA70" i="73"/>
  <c r="Z70" i="73"/>
  <c r="B70" i="73"/>
  <c r="A70" i="73"/>
  <c r="AC69" i="73"/>
  <c r="AB69" i="73"/>
  <c r="AA69" i="73"/>
  <c r="Z69" i="73"/>
  <c r="B69" i="73"/>
  <c r="A69" i="73"/>
  <c r="AC68" i="73"/>
  <c r="AB68" i="73"/>
  <c r="AA68" i="73"/>
  <c r="Z68" i="73"/>
  <c r="B68" i="73"/>
  <c r="A68" i="73"/>
  <c r="AC67" i="73"/>
  <c r="AB67" i="73"/>
  <c r="AA67" i="73"/>
  <c r="Z67" i="73"/>
  <c r="B67" i="73"/>
  <c r="A67" i="73"/>
  <c r="AC66" i="73"/>
  <c r="AB66" i="73"/>
  <c r="AA66" i="73"/>
  <c r="Z66" i="73"/>
  <c r="B66" i="73"/>
  <c r="A66" i="73"/>
  <c r="AC65" i="73"/>
  <c r="AB65" i="73"/>
  <c r="AA65" i="73"/>
  <c r="Z65" i="73"/>
  <c r="B65" i="73"/>
  <c r="A65" i="73"/>
  <c r="AC64" i="73"/>
  <c r="AB64" i="73"/>
  <c r="AA64" i="73"/>
  <c r="Z64" i="73"/>
  <c r="B64" i="73"/>
  <c r="A64" i="73"/>
  <c r="AC63" i="73"/>
  <c r="AB63" i="73"/>
  <c r="AA63" i="73"/>
  <c r="Z63" i="73"/>
  <c r="B63" i="73"/>
  <c r="A63" i="73"/>
  <c r="AC62" i="73"/>
  <c r="AB62" i="73"/>
  <c r="AA62" i="73"/>
  <c r="Z62" i="73"/>
  <c r="B62" i="73"/>
  <c r="A62" i="73"/>
  <c r="AC61" i="73"/>
  <c r="AB61" i="73"/>
  <c r="AA61" i="73"/>
  <c r="Z61" i="73"/>
  <c r="B61" i="73"/>
  <c r="A61" i="73"/>
  <c r="AC60" i="73"/>
  <c r="AB60" i="73"/>
  <c r="AA60" i="73"/>
  <c r="Z60" i="73"/>
  <c r="B60" i="73"/>
  <c r="A60" i="73"/>
  <c r="AC59" i="73"/>
  <c r="AB59" i="73"/>
  <c r="AA59" i="73"/>
  <c r="Z59" i="73"/>
  <c r="B59" i="73"/>
  <c r="A59" i="73"/>
  <c r="AC58" i="73"/>
  <c r="AB58" i="73"/>
  <c r="AA58" i="73"/>
  <c r="Z58" i="73"/>
  <c r="B58" i="73"/>
  <c r="A58" i="73"/>
  <c r="A57" i="73"/>
  <c r="AC56" i="73"/>
  <c r="AB56" i="73"/>
  <c r="AA56" i="73"/>
  <c r="Y56" i="73"/>
  <c r="X56" i="73"/>
  <c r="W56" i="73"/>
  <c r="Z56" i="73" s="1"/>
  <c r="B56" i="73"/>
  <c r="A56" i="73"/>
  <c r="AC55" i="73"/>
  <c r="AB55" i="73"/>
  <c r="AA55" i="73"/>
  <c r="Z55" i="73"/>
  <c r="B55" i="73"/>
  <c r="A55" i="73"/>
  <c r="AC54" i="73"/>
  <c r="AB54" i="73"/>
  <c r="AA54" i="73"/>
  <c r="Z54" i="73"/>
  <c r="B54" i="73"/>
  <c r="A54" i="73"/>
  <c r="AC53" i="73"/>
  <c r="AB53" i="73"/>
  <c r="AA53" i="73"/>
  <c r="Z53" i="73"/>
  <c r="B53" i="73"/>
  <c r="A53" i="73"/>
  <c r="AC52" i="73"/>
  <c r="AB52" i="73"/>
  <c r="AA52" i="73"/>
  <c r="Z52" i="73"/>
  <c r="B52" i="73"/>
  <c r="A52" i="73"/>
  <c r="AC51" i="73"/>
  <c r="AB51" i="73"/>
  <c r="AA51" i="73"/>
  <c r="Z51" i="73"/>
  <c r="B51" i="73"/>
  <c r="A51" i="73"/>
  <c r="AC50" i="73"/>
  <c r="AB50" i="73"/>
  <c r="AA50" i="73"/>
  <c r="Z50" i="73"/>
  <c r="B50" i="73"/>
  <c r="A50" i="73"/>
  <c r="AC49" i="73"/>
  <c r="AB49" i="73"/>
  <c r="AA49" i="73"/>
  <c r="Z49" i="73"/>
  <c r="B49" i="73"/>
  <c r="A49" i="73"/>
  <c r="AC48" i="73"/>
  <c r="AB48" i="73"/>
  <c r="AA48" i="73"/>
  <c r="Z48" i="73"/>
  <c r="B48" i="73"/>
  <c r="A48" i="73"/>
  <c r="AC47" i="73"/>
  <c r="AB47" i="73"/>
  <c r="AA47" i="73"/>
  <c r="Z47" i="73"/>
  <c r="B47" i="73"/>
  <c r="A47" i="73"/>
  <c r="AC46" i="73"/>
  <c r="AB46" i="73"/>
  <c r="AA46" i="73"/>
  <c r="Z46" i="73"/>
  <c r="B46" i="73"/>
  <c r="A46" i="73"/>
  <c r="AC45" i="73"/>
  <c r="AB45" i="73"/>
  <c r="AA45" i="73"/>
  <c r="Z45" i="73"/>
  <c r="B45" i="73"/>
  <c r="A45" i="73"/>
  <c r="AC44" i="73"/>
  <c r="AB44" i="73"/>
  <c r="AA44" i="73"/>
  <c r="Z44" i="73"/>
  <c r="B44" i="73"/>
  <c r="A44" i="73"/>
  <c r="AC43" i="73"/>
  <c r="AB43" i="73"/>
  <c r="AA43" i="73"/>
  <c r="Z43" i="73"/>
  <c r="B43" i="73"/>
  <c r="A43" i="73"/>
  <c r="AC42" i="73"/>
  <c r="AB42" i="73"/>
  <c r="AA42" i="73"/>
  <c r="Z42" i="73"/>
  <c r="B42" i="73"/>
  <c r="A42" i="73"/>
  <c r="AC41" i="73"/>
  <c r="AB41" i="73"/>
  <c r="AA41" i="73"/>
  <c r="Z41" i="73"/>
  <c r="B41" i="73"/>
  <c r="A41" i="73"/>
  <c r="AC40" i="73"/>
  <c r="AB40" i="73"/>
  <c r="AA40" i="73"/>
  <c r="Z40" i="73"/>
  <c r="B40" i="73"/>
  <c r="A40" i="73"/>
  <c r="AC39" i="73"/>
  <c r="AB39" i="73"/>
  <c r="AA39" i="73"/>
  <c r="Z39" i="73"/>
  <c r="B39" i="73"/>
  <c r="A39" i="73"/>
  <c r="AC38" i="73"/>
  <c r="AB38" i="73"/>
  <c r="AA38" i="73"/>
  <c r="Z38" i="73"/>
  <c r="B38" i="73"/>
  <c r="A38" i="73"/>
  <c r="AC37" i="73"/>
  <c r="AB37" i="73"/>
  <c r="AA37" i="73"/>
  <c r="Z37" i="73"/>
  <c r="B37" i="73"/>
  <c r="A37" i="73"/>
  <c r="AC36" i="73"/>
  <c r="AB36" i="73"/>
  <c r="AA36" i="73"/>
  <c r="Z36" i="73"/>
  <c r="B36" i="73"/>
  <c r="A36" i="73"/>
  <c r="AC35" i="73"/>
  <c r="AB35" i="73"/>
  <c r="AA35" i="73"/>
  <c r="Z35" i="73"/>
  <c r="B35" i="73"/>
  <c r="A35" i="73"/>
  <c r="AC34" i="73"/>
  <c r="AB34" i="73"/>
  <c r="AA34" i="73"/>
  <c r="Z34" i="73"/>
  <c r="B34" i="73"/>
  <c r="A34" i="73"/>
  <c r="AC33" i="73"/>
  <c r="AB33" i="73"/>
  <c r="AA33" i="73"/>
  <c r="Z33" i="73"/>
  <c r="B33" i="73"/>
  <c r="A33" i="73"/>
  <c r="AC32" i="73"/>
  <c r="AB32" i="73"/>
  <c r="AA32" i="73"/>
  <c r="Z32" i="73"/>
  <c r="B32" i="73"/>
  <c r="A32" i="73"/>
  <c r="AC31" i="73"/>
  <c r="AB31" i="73"/>
  <c r="AA31" i="73"/>
  <c r="Z31" i="73"/>
  <c r="B31" i="73"/>
  <c r="A31" i="73"/>
  <c r="AC30" i="73"/>
  <c r="AB30" i="73"/>
  <c r="AA30" i="73"/>
  <c r="Z30" i="73"/>
  <c r="B30" i="73"/>
  <c r="A30" i="73"/>
  <c r="AC29" i="73"/>
  <c r="AB29" i="73"/>
  <c r="AA29" i="73"/>
  <c r="Z29" i="73"/>
  <c r="B29" i="73"/>
  <c r="A29" i="73"/>
  <c r="AC28" i="73"/>
  <c r="AB28" i="73"/>
  <c r="AA28" i="73"/>
  <c r="Z28" i="73"/>
  <c r="B28" i="73"/>
  <c r="A28" i="73"/>
  <c r="AC27" i="73"/>
  <c r="AB27" i="73"/>
  <c r="AA27" i="73"/>
  <c r="Z27" i="73"/>
  <c r="B27" i="73"/>
  <c r="A27" i="73"/>
  <c r="AC26" i="73"/>
  <c r="AB26" i="73"/>
  <c r="AA26" i="73"/>
  <c r="Z26" i="73"/>
  <c r="B26" i="73"/>
  <c r="A26" i="73"/>
  <c r="AC25" i="73"/>
  <c r="AB25" i="73"/>
  <c r="AA25" i="73"/>
  <c r="Z25" i="73"/>
  <c r="B25" i="73"/>
  <c r="A25" i="73"/>
  <c r="AC24" i="73"/>
  <c r="AB24" i="73"/>
  <c r="AA24" i="73"/>
  <c r="Z24" i="73"/>
  <c r="B24" i="73"/>
  <c r="A24" i="73"/>
  <c r="AC23" i="73"/>
  <c r="AB23" i="73"/>
  <c r="AA23" i="73"/>
  <c r="Z23" i="73"/>
  <c r="B23" i="73"/>
  <c r="A23" i="73"/>
  <c r="AC22" i="73"/>
  <c r="AB22" i="73"/>
  <c r="AA22" i="73"/>
  <c r="Z22" i="73"/>
  <c r="B22" i="73"/>
  <c r="A22" i="73"/>
  <c r="AC21" i="73"/>
  <c r="AB21" i="73"/>
  <c r="AA21" i="73"/>
  <c r="Z21" i="73"/>
  <c r="B21" i="73"/>
  <c r="A21" i="73"/>
  <c r="AC20" i="73"/>
  <c r="AB20" i="73"/>
  <c r="AA20" i="73"/>
  <c r="Z20" i="73"/>
  <c r="B20" i="73"/>
  <c r="A20" i="73"/>
  <c r="AC19" i="73"/>
  <c r="AB19" i="73"/>
  <c r="AA19" i="73"/>
  <c r="Z19" i="73"/>
  <c r="B19" i="73"/>
  <c r="A19" i="73"/>
  <c r="AC18" i="73"/>
  <c r="AB18" i="73"/>
  <c r="AA18" i="73"/>
  <c r="Z18" i="73"/>
  <c r="B18" i="73"/>
  <c r="A18" i="73"/>
  <c r="AC17" i="73"/>
  <c r="AB17" i="73"/>
  <c r="AA17" i="73"/>
  <c r="Z17" i="73"/>
  <c r="B17" i="73"/>
  <c r="A17" i="73"/>
  <c r="AC16" i="73"/>
  <c r="AB16" i="73"/>
  <c r="AA16" i="73"/>
  <c r="Z16" i="73"/>
  <c r="B16" i="73"/>
  <c r="A16" i="73"/>
  <c r="AC15" i="73"/>
  <c r="AB15" i="73"/>
  <c r="AA15" i="73"/>
  <c r="Z15" i="73"/>
  <c r="B15" i="73"/>
  <c r="A15" i="73"/>
  <c r="AC14" i="73"/>
  <c r="AB14" i="73"/>
  <c r="AA14" i="73"/>
  <c r="Z14" i="73"/>
  <c r="B14" i="73"/>
  <c r="A14" i="73"/>
  <c r="AC13" i="73"/>
  <c r="AB13" i="73"/>
  <c r="AA13" i="73"/>
  <c r="Z13" i="73"/>
  <c r="B13" i="73"/>
  <c r="A13" i="73"/>
  <c r="AC12" i="73"/>
  <c r="AB12" i="73"/>
  <c r="AA12" i="73"/>
  <c r="Z12" i="73"/>
  <c r="B12" i="73"/>
  <c r="A12" i="73"/>
  <c r="AC11" i="73"/>
  <c r="AB11" i="73"/>
  <c r="AA11" i="73"/>
  <c r="Z11" i="73"/>
  <c r="B11" i="73"/>
  <c r="A11" i="73"/>
  <c r="AC10" i="73"/>
  <c r="AB10" i="73"/>
  <c r="AA10" i="73"/>
  <c r="Z10" i="73"/>
  <c r="B10" i="73"/>
  <c r="A10" i="73"/>
  <c r="AC9" i="73"/>
  <c r="AB9" i="73"/>
  <c r="AA9" i="73"/>
  <c r="Z9" i="73"/>
  <c r="B9" i="73"/>
  <c r="A9" i="73"/>
  <c r="AC8" i="73"/>
  <c r="AB8" i="73"/>
  <c r="AA8" i="73"/>
  <c r="Z8" i="73"/>
  <c r="B8" i="73"/>
  <c r="A8" i="73"/>
  <c r="AC7" i="73"/>
  <c r="AB7" i="73"/>
  <c r="AA7" i="73"/>
  <c r="Z7" i="73"/>
  <c r="B7" i="73"/>
  <c r="A7" i="73"/>
  <c r="X5" i="73"/>
  <c r="W5" i="73"/>
  <c r="AD4" i="73"/>
  <c r="S177" i="72"/>
  <c r="N177" i="72"/>
  <c r="F177" i="72"/>
  <c r="D177" i="72"/>
  <c r="C177" i="72"/>
  <c r="AC176" i="72"/>
  <c r="AB176" i="72"/>
  <c r="AA176" i="72"/>
  <c r="Y176" i="72"/>
  <c r="X176" i="72"/>
  <c r="W176" i="72"/>
  <c r="AC175" i="72"/>
  <c r="AB175" i="72"/>
  <c r="AA175" i="72"/>
  <c r="Y175" i="72"/>
  <c r="X175" i="72"/>
  <c r="W175" i="72"/>
  <c r="AD174" i="72"/>
  <c r="AC174" i="72"/>
  <c r="AB174" i="72"/>
  <c r="AA174" i="72"/>
  <c r="Y174" i="72"/>
  <c r="X174" i="72"/>
  <c r="W174" i="72"/>
  <c r="AC173" i="72"/>
  <c r="AD173" i="72" s="1"/>
  <c r="AB173" i="72"/>
  <c r="AA173" i="72"/>
  <c r="Y173" i="72"/>
  <c r="X173" i="72"/>
  <c r="W173" i="72"/>
  <c r="AC172" i="72"/>
  <c r="AB172" i="72"/>
  <c r="AA172" i="72"/>
  <c r="Y172" i="72"/>
  <c r="X172" i="72"/>
  <c r="W172" i="72"/>
  <c r="AC171" i="72"/>
  <c r="AB171" i="72"/>
  <c r="AA171" i="72"/>
  <c r="Y171" i="72"/>
  <c r="X171" i="72"/>
  <c r="W171" i="72"/>
  <c r="AC170" i="72"/>
  <c r="AB170" i="72"/>
  <c r="AA170" i="72"/>
  <c r="Y170" i="72"/>
  <c r="X170" i="72"/>
  <c r="W170" i="72"/>
  <c r="AC169" i="72"/>
  <c r="AD169" i="72" s="1"/>
  <c r="AB169" i="72"/>
  <c r="AA169" i="72"/>
  <c r="Y169" i="72"/>
  <c r="X169" i="72"/>
  <c r="W169" i="72"/>
  <c r="AC168" i="72"/>
  <c r="AD168" i="72" s="1"/>
  <c r="AB168" i="72"/>
  <c r="AA168" i="72"/>
  <c r="Y168" i="72"/>
  <c r="X168" i="72"/>
  <c r="W168" i="72"/>
  <c r="AC167" i="72"/>
  <c r="AB167" i="72"/>
  <c r="AA167" i="72"/>
  <c r="Y167" i="72"/>
  <c r="X167" i="72"/>
  <c r="W167" i="72"/>
  <c r="AD166" i="72"/>
  <c r="AC166" i="72"/>
  <c r="AB166" i="72"/>
  <c r="AA166" i="72"/>
  <c r="Y166" i="72"/>
  <c r="X166" i="72"/>
  <c r="W166" i="72"/>
  <c r="AD165" i="72"/>
  <c r="AC165" i="72"/>
  <c r="AB165" i="72"/>
  <c r="AA165" i="72"/>
  <c r="Y165" i="72"/>
  <c r="X165" i="72"/>
  <c r="W165" i="72"/>
  <c r="AC164" i="72"/>
  <c r="AD164" i="72" s="1"/>
  <c r="AB164" i="72"/>
  <c r="AA164" i="72"/>
  <c r="Y164" i="72"/>
  <c r="X164" i="72"/>
  <c r="W164" i="72"/>
  <c r="AC163" i="72"/>
  <c r="AB163" i="72"/>
  <c r="AA163" i="72"/>
  <c r="Y163" i="72"/>
  <c r="X163" i="72"/>
  <c r="W163" i="72"/>
  <c r="AC162" i="72"/>
  <c r="AB162" i="72"/>
  <c r="AA162" i="72"/>
  <c r="Y162" i="72"/>
  <c r="X162" i="72"/>
  <c r="W162" i="72"/>
  <c r="AC161" i="72"/>
  <c r="AD161" i="72" s="1"/>
  <c r="AB161" i="72"/>
  <c r="AA161" i="72"/>
  <c r="Y161" i="72"/>
  <c r="X161" i="72"/>
  <c r="W161" i="72"/>
  <c r="AC160" i="72"/>
  <c r="AD160" i="72" s="1"/>
  <c r="AB160" i="72"/>
  <c r="AA160" i="72"/>
  <c r="Y160" i="72"/>
  <c r="X160" i="72"/>
  <c r="W160" i="72"/>
  <c r="AC159" i="72"/>
  <c r="AD159" i="72" s="1"/>
  <c r="AB159" i="72"/>
  <c r="AA159" i="72"/>
  <c r="Y159" i="72"/>
  <c r="X159" i="72"/>
  <c r="W159" i="72"/>
  <c r="AD158" i="72"/>
  <c r="AC158" i="72"/>
  <c r="AB158" i="72"/>
  <c r="AA158" i="72"/>
  <c r="Y158" i="72"/>
  <c r="X158" i="72"/>
  <c r="W158" i="72"/>
  <c r="AC157" i="72"/>
  <c r="AD157" i="72" s="1"/>
  <c r="AB157" i="72"/>
  <c r="AA157" i="72"/>
  <c r="Y157" i="72"/>
  <c r="X157" i="72"/>
  <c r="W157" i="72"/>
  <c r="AC156" i="72"/>
  <c r="AB156" i="72"/>
  <c r="AA156" i="72"/>
  <c r="Y156" i="72"/>
  <c r="X156" i="72"/>
  <c r="W156" i="72"/>
  <c r="Z156" i="72" s="1"/>
  <c r="AD156" i="72" s="1"/>
  <c r="AC155" i="72"/>
  <c r="AB155" i="72"/>
  <c r="AA155" i="72"/>
  <c r="Y155" i="72"/>
  <c r="X155" i="72"/>
  <c r="W155" i="72"/>
  <c r="Z155" i="72" s="1"/>
  <c r="AD155" i="72" s="1"/>
  <c r="AC154" i="72"/>
  <c r="AB154" i="72"/>
  <c r="AA154" i="72"/>
  <c r="Y154" i="72"/>
  <c r="X154" i="72"/>
  <c r="W154" i="72"/>
  <c r="Z154" i="72" s="1"/>
  <c r="AD154" i="72" s="1"/>
  <c r="AD153" i="72"/>
  <c r="AC153" i="72"/>
  <c r="AB153" i="72"/>
  <c r="AA153" i="72"/>
  <c r="Y153" i="72"/>
  <c r="X153" i="72"/>
  <c r="W153" i="72"/>
  <c r="Z153" i="72" s="1"/>
  <c r="AC152" i="72"/>
  <c r="AB152" i="72"/>
  <c r="AA152" i="72"/>
  <c r="Y152" i="72"/>
  <c r="X152" i="72"/>
  <c r="W152" i="72"/>
  <c r="AC151" i="72"/>
  <c r="AB151" i="72"/>
  <c r="AA151" i="72"/>
  <c r="Y151" i="72"/>
  <c r="X151" i="72"/>
  <c r="W151" i="72"/>
  <c r="Z151" i="72" s="1"/>
  <c r="AC150" i="72"/>
  <c r="AD150" i="72" s="1"/>
  <c r="AB150" i="72"/>
  <c r="AA150" i="72"/>
  <c r="Y150" i="72"/>
  <c r="X150" i="72"/>
  <c r="W150" i="72"/>
  <c r="Z150" i="72" s="1"/>
  <c r="AC149" i="72"/>
  <c r="AB149" i="72"/>
  <c r="AA149" i="72"/>
  <c r="Y149" i="72"/>
  <c r="X149" i="72"/>
  <c r="W149" i="72"/>
  <c r="Z149" i="72" s="1"/>
  <c r="AD149" i="72" s="1"/>
  <c r="AC148" i="72"/>
  <c r="AB148" i="72"/>
  <c r="AA148" i="72"/>
  <c r="Y148" i="72"/>
  <c r="X148" i="72"/>
  <c r="W148" i="72"/>
  <c r="AC147" i="72"/>
  <c r="AB147" i="72"/>
  <c r="AA147" i="72"/>
  <c r="Y147" i="72"/>
  <c r="X147" i="72"/>
  <c r="W147" i="72"/>
  <c r="Z147" i="72" s="1"/>
  <c r="AD147" i="72" s="1"/>
  <c r="AC146" i="72"/>
  <c r="AB146" i="72"/>
  <c r="AA146" i="72"/>
  <c r="Y146" i="72"/>
  <c r="X146" i="72"/>
  <c r="W146" i="72"/>
  <c r="Z146" i="72" s="1"/>
  <c r="AD146" i="72" s="1"/>
  <c r="AD145" i="72"/>
  <c r="AC145" i="72"/>
  <c r="AB145" i="72"/>
  <c r="AA145" i="72"/>
  <c r="Y145" i="72"/>
  <c r="X145" i="72"/>
  <c r="W145" i="72"/>
  <c r="Z145" i="72" s="1"/>
  <c r="AC144" i="72"/>
  <c r="AB144" i="72"/>
  <c r="AA144" i="72"/>
  <c r="Y144" i="72"/>
  <c r="X144" i="72"/>
  <c r="W144" i="72"/>
  <c r="AC143" i="72"/>
  <c r="AB143" i="72"/>
  <c r="AA143" i="72"/>
  <c r="Y143" i="72"/>
  <c r="X143" i="72"/>
  <c r="W143" i="72"/>
  <c r="Z143" i="72" s="1"/>
  <c r="AC142" i="72"/>
  <c r="AB142" i="72"/>
  <c r="AA142" i="72"/>
  <c r="Y142" i="72"/>
  <c r="X142" i="72"/>
  <c r="W142" i="72"/>
  <c r="Z142" i="72" s="1"/>
  <c r="AC141" i="72"/>
  <c r="AB141" i="72"/>
  <c r="AA141" i="72"/>
  <c r="Y141" i="72"/>
  <c r="X141" i="72"/>
  <c r="W141" i="72"/>
  <c r="Z141" i="72" s="1"/>
  <c r="AD141" i="72" s="1"/>
  <c r="AC140" i="72"/>
  <c r="AB140" i="72"/>
  <c r="AA140" i="72"/>
  <c r="Y140" i="72"/>
  <c r="X140" i="72"/>
  <c r="W140" i="72"/>
  <c r="AC139" i="72"/>
  <c r="AB139" i="72"/>
  <c r="AA139" i="72"/>
  <c r="Y139" i="72"/>
  <c r="X139" i="72"/>
  <c r="W139" i="72"/>
  <c r="Z139" i="72" s="1"/>
  <c r="AD139" i="72" s="1"/>
  <c r="AC138" i="72"/>
  <c r="AB138" i="72"/>
  <c r="AA138" i="72"/>
  <c r="Y138" i="72"/>
  <c r="X138" i="72"/>
  <c r="W138" i="72"/>
  <c r="Z138" i="72" s="1"/>
  <c r="AD138" i="72" s="1"/>
  <c r="AD137" i="72"/>
  <c r="AC137" i="72"/>
  <c r="AB137" i="72"/>
  <c r="AA137" i="72"/>
  <c r="Y137" i="72"/>
  <c r="X137" i="72"/>
  <c r="W137" i="72"/>
  <c r="Z137" i="72" s="1"/>
  <c r="AC136" i="72"/>
  <c r="AD136" i="72" s="1"/>
  <c r="AB136" i="72"/>
  <c r="AA136" i="72"/>
  <c r="Y136" i="72"/>
  <c r="X136" i="72"/>
  <c r="W136" i="72"/>
  <c r="Z136" i="72" s="1"/>
  <c r="AC135" i="72"/>
  <c r="AB135" i="72"/>
  <c r="AA135" i="72"/>
  <c r="Y135" i="72"/>
  <c r="X135" i="72"/>
  <c r="W135" i="72"/>
  <c r="AC134" i="72"/>
  <c r="AB134" i="72"/>
  <c r="AA134" i="72"/>
  <c r="Y134" i="72"/>
  <c r="X134" i="72"/>
  <c r="W134" i="72"/>
  <c r="Z134" i="72" s="1"/>
  <c r="AC133" i="72"/>
  <c r="AB133" i="72"/>
  <c r="AA133" i="72"/>
  <c r="Y133" i="72"/>
  <c r="X133" i="72"/>
  <c r="W133" i="72"/>
  <c r="Z133" i="72" s="1"/>
  <c r="AD133" i="72" s="1"/>
  <c r="AC132" i="72"/>
  <c r="AB132" i="72"/>
  <c r="AA132" i="72"/>
  <c r="Y132" i="72"/>
  <c r="X132" i="72"/>
  <c r="W132" i="72"/>
  <c r="Z132" i="72" s="1"/>
  <c r="AD132" i="72" s="1"/>
  <c r="AC131" i="72"/>
  <c r="AB131" i="72"/>
  <c r="AA131" i="72"/>
  <c r="Y131" i="72"/>
  <c r="X131" i="72"/>
  <c r="W131" i="72"/>
  <c r="AC130" i="72"/>
  <c r="AB130" i="72"/>
  <c r="AA130" i="72"/>
  <c r="Y130" i="72"/>
  <c r="X130" i="72"/>
  <c r="W130" i="72"/>
  <c r="Z130" i="72" s="1"/>
  <c r="AD130" i="72" s="1"/>
  <c r="AD129" i="72"/>
  <c r="AC129" i="72"/>
  <c r="AB129" i="72"/>
  <c r="AA129" i="72"/>
  <c r="Y129" i="72"/>
  <c r="X129" i="72"/>
  <c r="W129" i="72"/>
  <c r="Z129" i="72" s="1"/>
  <c r="AC128" i="72"/>
  <c r="AD128" i="72" s="1"/>
  <c r="AB128" i="72"/>
  <c r="AA128" i="72"/>
  <c r="Y128" i="72"/>
  <c r="X128" i="72"/>
  <c r="W128" i="72"/>
  <c r="Z128" i="72" s="1"/>
  <c r="AC127" i="72"/>
  <c r="AB127" i="72"/>
  <c r="AA127" i="72"/>
  <c r="Y127" i="72"/>
  <c r="X127" i="72"/>
  <c r="W127" i="72"/>
  <c r="AC126" i="72"/>
  <c r="AB126" i="72"/>
  <c r="AA126" i="72"/>
  <c r="Y126" i="72"/>
  <c r="X126" i="72"/>
  <c r="W126" i="72"/>
  <c r="Z126" i="72" s="1"/>
  <c r="AC125" i="72"/>
  <c r="AB125" i="72"/>
  <c r="AA125" i="72"/>
  <c r="Y125" i="72"/>
  <c r="X125" i="72"/>
  <c r="W125" i="72"/>
  <c r="Z125" i="72" s="1"/>
  <c r="AD125" i="72" s="1"/>
  <c r="AC124" i="72"/>
  <c r="AB124" i="72"/>
  <c r="AA124" i="72"/>
  <c r="Y124" i="72"/>
  <c r="X124" i="72"/>
  <c r="W124" i="72"/>
  <c r="Z124" i="72" s="1"/>
  <c r="AD124" i="72" s="1"/>
  <c r="AC123" i="72"/>
  <c r="AB123" i="72"/>
  <c r="AA123" i="72"/>
  <c r="Y123" i="72"/>
  <c r="X123" i="72"/>
  <c r="W123" i="72"/>
  <c r="AC122" i="72"/>
  <c r="AB122" i="72"/>
  <c r="AA122" i="72"/>
  <c r="Y122" i="72"/>
  <c r="X122" i="72"/>
  <c r="W122" i="72"/>
  <c r="Z122" i="72" s="1"/>
  <c r="AD122" i="72" s="1"/>
  <c r="AC121" i="72"/>
  <c r="AB121" i="72"/>
  <c r="AA121" i="72"/>
  <c r="Y121" i="72"/>
  <c r="X121" i="72"/>
  <c r="W121" i="72"/>
  <c r="Z121" i="72" s="1"/>
  <c r="AD121" i="72" s="1"/>
  <c r="AC120" i="72"/>
  <c r="AD120" i="72" s="1"/>
  <c r="AB120" i="72"/>
  <c r="AA120" i="72"/>
  <c r="Y120" i="72"/>
  <c r="X120" i="72"/>
  <c r="W120" i="72"/>
  <c r="Z120" i="72" s="1"/>
  <c r="AC119" i="72"/>
  <c r="AD119" i="72" s="1"/>
  <c r="AB119" i="72"/>
  <c r="AA119" i="72"/>
  <c r="Y119" i="72"/>
  <c r="X119" i="72"/>
  <c r="W119" i="72"/>
  <c r="Z119" i="72" s="1"/>
  <c r="AC118" i="72"/>
  <c r="AB118" i="72"/>
  <c r="AA118" i="72"/>
  <c r="Y118" i="72"/>
  <c r="X118" i="72"/>
  <c r="W118" i="72"/>
  <c r="AC117" i="72"/>
  <c r="AB117" i="72"/>
  <c r="AA117" i="72"/>
  <c r="Y117" i="72"/>
  <c r="X117" i="72"/>
  <c r="W117" i="72"/>
  <c r="Z117" i="72" s="1"/>
  <c r="AD117" i="72" s="1"/>
  <c r="AC116" i="72"/>
  <c r="AB116" i="72"/>
  <c r="AA116" i="72"/>
  <c r="Y116" i="72"/>
  <c r="X116" i="72"/>
  <c r="W116" i="72"/>
  <c r="Z116" i="72" s="1"/>
  <c r="AD116" i="72" s="1"/>
  <c r="AC115" i="72"/>
  <c r="AB115" i="72"/>
  <c r="AA115" i="72"/>
  <c r="Y115" i="72"/>
  <c r="X115" i="72"/>
  <c r="W115" i="72"/>
  <c r="Z115" i="72" s="1"/>
  <c r="AD115" i="72" s="1"/>
  <c r="AC114" i="72"/>
  <c r="AB114" i="72"/>
  <c r="AA114" i="72"/>
  <c r="Y114" i="72"/>
  <c r="X114" i="72"/>
  <c r="W114" i="72"/>
  <c r="AC113" i="72"/>
  <c r="AB113" i="72"/>
  <c r="AA113" i="72"/>
  <c r="Y113" i="72"/>
  <c r="X113" i="72"/>
  <c r="W113" i="72"/>
  <c r="Z113" i="72" s="1"/>
  <c r="AD113" i="72" s="1"/>
  <c r="AC112" i="72"/>
  <c r="AB112" i="72"/>
  <c r="AA112" i="72"/>
  <c r="Y112" i="72"/>
  <c r="X112" i="72"/>
  <c r="W112" i="72"/>
  <c r="Z112" i="72" s="1"/>
  <c r="AC111" i="72"/>
  <c r="AD111" i="72" s="1"/>
  <c r="AB111" i="72"/>
  <c r="AA111" i="72"/>
  <c r="Y111" i="72"/>
  <c r="X111" i="72"/>
  <c r="W111" i="72"/>
  <c r="Z111" i="72" s="1"/>
  <c r="AC110" i="72"/>
  <c r="AB110" i="72"/>
  <c r="AA110" i="72"/>
  <c r="Y110" i="72"/>
  <c r="X110" i="72"/>
  <c r="W110" i="72"/>
  <c r="AC109" i="72"/>
  <c r="AB109" i="72"/>
  <c r="AA109" i="72"/>
  <c r="Y109" i="72"/>
  <c r="X109" i="72"/>
  <c r="W109" i="72"/>
  <c r="Z109" i="72" s="1"/>
  <c r="AD109" i="72" s="1"/>
  <c r="AC108" i="72"/>
  <c r="AB108" i="72"/>
  <c r="AA108" i="72"/>
  <c r="Y108" i="72"/>
  <c r="X108" i="72"/>
  <c r="W108" i="72"/>
  <c r="Z108" i="72" s="1"/>
  <c r="AD108" i="72" s="1"/>
  <c r="AC107" i="72"/>
  <c r="AB107" i="72"/>
  <c r="AA107" i="72"/>
  <c r="Y107" i="72"/>
  <c r="X107" i="72"/>
  <c r="W107" i="72"/>
  <c r="Z107" i="72" s="1"/>
  <c r="AD107" i="72" s="1"/>
  <c r="AC106" i="72"/>
  <c r="AB106" i="72"/>
  <c r="AA106" i="72"/>
  <c r="Y106" i="72"/>
  <c r="X106" i="72"/>
  <c r="W106" i="72"/>
  <c r="AC105" i="72"/>
  <c r="AB105" i="72"/>
  <c r="AA105" i="72"/>
  <c r="Y105" i="72"/>
  <c r="X105" i="72"/>
  <c r="W105" i="72"/>
  <c r="AC104" i="72"/>
  <c r="AB104" i="72"/>
  <c r="AA104" i="72"/>
  <c r="Y104" i="72"/>
  <c r="X104" i="72"/>
  <c r="W104" i="72"/>
  <c r="Z104" i="72" s="1"/>
  <c r="AC103" i="72"/>
  <c r="AD103" i="72" s="1"/>
  <c r="AB103" i="72"/>
  <c r="AA103" i="72"/>
  <c r="Y103" i="72"/>
  <c r="X103" i="72"/>
  <c r="W103" i="72"/>
  <c r="Z103" i="72" s="1"/>
  <c r="AC102" i="72"/>
  <c r="AD102" i="72" s="1"/>
  <c r="AB102" i="72"/>
  <c r="AA102" i="72"/>
  <c r="Y102" i="72"/>
  <c r="X102" i="72"/>
  <c r="W102" i="72"/>
  <c r="Z102" i="72" s="1"/>
  <c r="AC101" i="72"/>
  <c r="AB101" i="72"/>
  <c r="AA101" i="72"/>
  <c r="Y101" i="72"/>
  <c r="X101" i="72"/>
  <c r="W101" i="72"/>
  <c r="AC100" i="72"/>
  <c r="AB100" i="72"/>
  <c r="AA100" i="72"/>
  <c r="Y100" i="72"/>
  <c r="X100" i="72"/>
  <c r="W100" i="72"/>
  <c r="Z100" i="72" s="1"/>
  <c r="AD100" i="72" s="1"/>
  <c r="AC99" i="72"/>
  <c r="AB99" i="72"/>
  <c r="AA99" i="72"/>
  <c r="Y99" i="72"/>
  <c r="X99" i="72"/>
  <c r="W99" i="72"/>
  <c r="Z99" i="72" s="1"/>
  <c r="AD99" i="72" s="1"/>
  <c r="AC98" i="72"/>
  <c r="AB98" i="72"/>
  <c r="AA98" i="72"/>
  <c r="Y98" i="72"/>
  <c r="X98" i="72"/>
  <c r="W98" i="72"/>
  <c r="AD97" i="72"/>
  <c r="AC97" i="72"/>
  <c r="AB97" i="72"/>
  <c r="AA97" i="72"/>
  <c r="AC96" i="72"/>
  <c r="AB96" i="72"/>
  <c r="AA96" i="72"/>
  <c r="Y96" i="72"/>
  <c r="X96" i="72"/>
  <c r="W96" i="72"/>
  <c r="AC95" i="72"/>
  <c r="AB95" i="72"/>
  <c r="AA95" i="72"/>
  <c r="Y95" i="72"/>
  <c r="X95" i="72"/>
  <c r="W95" i="72"/>
  <c r="Y94" i="72"/>
  <c r="X94" i="72"/>
  <c r="W94" i="72"/>
  <c r="A92" i="72"/>
  <c r="AC91" i="72"/>
  <c r="AB91" i="72"/>
  <c r="AA91" i="72"/>
  <c r="Y91" i="72"/>
  <c r="X91" i="72"/>
  <c r="W91" i="72"/>
  <c r="B91" i="72"/>
  <c r="A91" i="72"/>
  <c r="AC90" i="72"/>
  <c r="AB90" i="72"/>
  <c r="AA90" i="72"/>
  <c r="Z90" i="72"/>
  <c r="B90" i="72"/>
  <c r="A90" i="72"/>
  <c r="AC89" i="72"/>
  <c r="AB89" i="72"/>
  <c r="AA89" i="72"/>
  <c r="Z89" i="72"/>
  <c r="B89" i="72"/>
  <c r="A89" i="72"/>
  <c r="AC88" i="72"/>
  <c r="AB88" i="72"/>
  <c r="AA88" i="72"/>
  <c r="Z88" i="72"/>
  <c r="B88" i="72"/>
  <c r="A88" i="72"/>
  <c r="AC87" i="72"/>
  <c r="AB87" i="72"/>
  <c r="AA87" i="72"/>
  <c r="Z87" i="72"/>
  <c r="B87" i="72"/>
  <c r="A87" i="72"/>
  <c r="AC86" i="72"/>
  <c r="AB86" i="72"/>
  <c r="AA86" i="72"/>
  <c r="Z86" i="72"/>
  <c r="B86" i="72"/>
  <c r="A86" i="72"/>
  <c r="AC85" i="72"/>
  <c r="AB85" i="72"/>
  <c r="AA85" i="72"/>
  <c r="Z85" i="72"/>
  <c r="B85" i="72"/>
  <c r="A85" i="72"/>
  <c r="AC84" i="72"/>
  <c r="AB84" i="72"/>
  <c r="AA84" i="72"/>
  <c r="Z84" i="72"/>
  <c r="B84" i="72"/>
  <c r="A84" i="72"/>
  <c r="AC83" i="72"/>
  <c r="AB83" i="72"/>
  <c r="AA83" i="72"/>
  <c r="Z83" i="72"/>
  <c r="B83" i="72"/>
  <c r="A83" i="72"/>
  <c r="AC82" i="72"/>
  <c r="AB82" i="72"/>
  <c r="AA82" i="72"/>
  <c r="Z82" i="72"/>
  <c r="B82" i="72"/>
  <c r="A82" i="72"/>
  <c r="AC81" i="72"/>
  <c r="AB81" i="72"/>
  <c r="AA81" i="72"/>
  <c r="Z81" i="72"/>
  <c r="B81" i="72"/>
  <c r="A81" i="72"/>
  <c r="AC80" i="72"/>
  <c r="AB80" i="72"/>
  <c r="AA80" i="72"/>
  <c r="Z80" i="72"/>
  <c r="B80" i="72"/>
  <c r="A80" i="72"/>
  <c r="AC79" i="72"/>
  <c r="AB79" i="72"/>
  <c r="AA79" i="72"/>
  <c r="Z79" i="72"/>
  <c r="B79" i="72"/>
  <c r="A79" i="72"/>
  <c r="AC78" i="72"/>
  <c r="AB78" i="72"/>
  <c r="AA78" i="72"/>
  <c r="Z78" i="72"/>
  <c r="B78" i="72"/>
  <c r="A78" i="72"/>
  <c r="AC77" i="72"/>
  <c r="AB77" i="72"/>
  <c r="AA77" i="72"/>
  <c r="Z77" i="72"/>
  <c r="B77" i="72"/>
  <c r="A77" i="72"/>
  <c r="AC76" i="72"/>
  <c r="AB76" i="72"/>
  <c r="AA76" i="72"/>
  <c r="Z76" i="72"/>
  <c r="B76" i="72"/>
  <c r="A76" i="72"/>
  <c r="AC75" i="72"/>
  <c r="AB75" i="72"/>
  <c r="AA75" i="72"/>
  <c r="Z75" i="72"/>
  <c r="B75" i="72"/>
  <c r="A75" i="72"/>
  <c r="AC74" i="72"/>
  <c r="AB74" i="72"/>
  <c r="AA74" i="72"/>
  <c r="Z74" i="72"/>
  <c r="B74" i="72"/>
  <c r="A74" i="72"/>
  <c r="AC73" i="72"/>
  <c r="AB73" i="72"/>
  <c r="AA73" i="72"/>
  <c r="Z73" i="72"/>
  <c r="B73" i="72"/>
  <c r="A73" i="72"/>
  <c r="A72" i="72"/>
  <c r="AC71" i="72"/>
  <c r="AB71" i="72"/>
  <c r="AA71" i="72"/>
  <c r="Y71" i="72"/>
  <c r="X71" i="72"/>
  <c r="W71" i="72"/>
  <c r="Z71" i="72" s="1"/>
  <c r="B71" i="72"/>
  <c r="A71" i="72"/>
  <c r="AC70" i="72"/>
  <c r="AB70" i="72"/>
  <c r="AA70" i="72"/>
  <c r="Z70" i="72"/>
  <c r="B70" i="72"/>
  <c r="A70" i="72"/>
  <c r="AC69" i="72"/>
  <c r="AB69" i="72"/>
  <c r="AA69" i="72"/>
  <c r="Z69" i="72"/>
  <c r="B69" i="72"/>
  <c r="A69" i="72"/>
  <c r="AC68" i="72"/>
  <c r="AB68" i="72"/>
  <c r="AA68" i="72"/>
  <c r="Z68" i="72"/>
  <c r="B68" i="72"/>
  <c r="A68" i="72"/>
  <c r="AC67" i="72"/>
  <c r="AB67" i="72"/>
  <c r="AA67" i="72"/>
  <c r="Z67" i="72"/>
  <c r="B67" i="72"/>
  <c r="A67" i="72"/>
  <c r="AC66" i="72"/>
  <c r="AB66" i="72"/>
  <c r="AA66" i="72"/>
  <c r="Z66" i="72"/>
  <c r="B66" i="72"/>
  <c r="A66" i="72"/>
  <c r="AC65" i="72"/>
  <c r="AB65" i="72"/>
  <c r="AA65" i="72"/>
  <c r="Z65" i="72"/>
  <c r="B65" i="72"/>
  <c r="A65" i="72"/>
  <c r="AC64" i="72"/>
  <c r="AB64" i="72"/>
  <c r="AA64" i="72"/>
  <c r="Z64" i="72"/>
  <c r="B64" i="72"/>
  <c r="A64" i="72"/>
  <c r="AC63" i="72"/>
  <c r="AB63" i="72"/>
  <c r="AA63" i="72"/>
  <c r="Z63" i="72"/>
  <c r="B63" i="72"/>
  <c r="A63" i="72"/>
  <c r="AC62" i="72"/>
  <c r="AB62" i="72"/>
  <c r="AA62" i="72"/>
  <c r="Z62" i="72"/>
  <c r="B62" i="72"/>
  <c r="A62" i="72"/>
  <c r="AC61" i="72"/>
  <c r="AB61" i="72"/>
  <c r="AA61" i="72"/>
  <c r="Z61" i="72"/>
  <c r="B61" i="72"/>
  <c r="A61" i="72"/>
  <c r="AC60" i="72"/>
  <c r="AB60" i="72"/>
  <c r="AA60" i="72"/>
  <c r="Z60" i="72"/>
  <c r="B60" i="72"/>
  <c r="A60" i="72"/>
  <c r="AC59" i="72"/>
  <c r="AB59" i="72"/>
  <c r="AA59" i="72"/>
  <c r="Z59" i="72"/>
  <c r="B59" i="72"/>
  <c r="A59" i="72"/>
  <c r="AC58" i="72"/>
  <c r="AB58" i="72"/>
  <c r="AA58" i="72"/>
  <c r="Z58" i="72"/>
  <c r="B58" i="72"/>
  <c r="A58" i="72"/>
  <c r="A57" i="72"/>
  <c r="AC56" i="72"/>
  <c r="AB56" i="72"/>
  <c r="AA56" i="72"/>
  <c r="Y56" i="72"/>
  <c r="X56" i="72"/>
  <c r="W56" i="72"/>
  <c r="Z56" i="72" s="1"/>
  <c r="B56" i="72"/>
  <c r="A56" i="72"/>
  <c r="AC55" i="72"/>
  <c r="AB55" i="72"/>
  <c r="AA55" i="72"/>
  <c r="Z55" i="72"/>
  <c r="B55" i="72"/>
  <c r="A55" i="72"/>
  <c r="AC54" i="72"/>
  <c r="AB54" i="72"/>
  <c r="AA54" i="72"/>
  <c r="Z54" i="72"/>
  <c r="B54" i="72"/>
  <c r="A54" i="72"/>
  <c r="AC53" i="72"/>
  <c r="AB53" i="72"/>
  <c r="AA53" i="72"/>
  <c r="Z53" i="72"/>
  <c r="B53" i="72"/>
  <c r="A53" i="72"/>
  <c r="AC52" i="72"/>
  <c r="AB52" i="72"/>
  <c r="AA52" i="72"/>
  <c r="Z52" i="72"/>
  <c r="B52" i="72"/>
  <c r="A52" i="72"/>
  <c r="AC51" i="72"/>
  <c r="AB51" i="72"/>
  <c r="AA51" i="72"/>
  <c r="Z51" i="72"/>
  <c r="B51" i="72"/>
  <c r="A51" i="72"/>
  <c r="AC50" i="72"/>
  <c r="AB50" i="72"/>
  <c r="AA50" i="72"/>
  <c r="Z50" i="72"/>
  <c r="B50" i="72"/>
  <c r="A50" i="72"/>
  <c r="AC49" i="72"/>
  <c r="AB49" i="72"/>
  <c r="AA49" i="72"/>
  <c r="Z49" i="72"/>
  <c r="B49" i="72"/>
  <c r="A49" i="72"/>
  <c r="AC48" i="72"/>
  <c r="AB48" i="72"/>
  <c r="AA48" i="72"/>
  <c r="Z48" i="72"/>
  <c r="B48" i="72"/>
  <c r="A48" i="72"/>
  <c r="AC47" i="72"/>
  <c r="AB47" i="72"/>
  <c r="AA47" i="72"/>
  <c r="Z47" i="72"/>
  <c r="B47" i="72"/>
  <c r="A47" i="72"/>
  <c r="AC46" i="72"/>
  <c r="AB46" i="72"/>
  <c r="AA46" i="72"/>
  <c r="Z46" i="72"/>
  <c r="B46" i="72"/>
  <c r="A46" i="72"/>
  <c r="AC45" i="72"/>
  <c r="AB45" i="72"/>
  <c r="AA45" i="72"/>
  <c r="Z45" i="72"/>
  <c r="B45" i="72"/>
  <c r="A45" i="72"/>
  <c r="AC44" i="72"/>
  <c r="AB44" i="72"/>
  <c r="AA44" i="72"/>
  <c r="Z44" i="72"/>
  <c r="B44" i="72"/>
  <c r="A44" i="72"/>
  <c r="AC43" i="72"/>
  <c r="AB43" i="72"/>
  <c r="AA43" i="72"/>
  <c r="Z43" i="72"/>
  <c r="B43" i="72"/>
  <c r="A43" i="72"/>
  <c r="AC42" i="72"/>
  <c r="AB42" i="72"/>
  <c r="AA42" i="72"/>
  <c r="Z42" i="72"/>
  <c r="B42" i="72"/>
  <c r="A42" i="72"/>
  <c r="AC41" i="72"/>
  <c r="AB41" i="72"/>
  <c r="AA41" i="72"/>
  <c r="Z41" i="72"/>
  <c r="B41" i="72"/>
  <c r="A41" i="72"/>
  <c r="AC40" i="72"/>
  <c r="AB40" i="72"/>
  <c r="AA40" i="72"/>
  <c r="Z40" i="72"/>
  <c r="B40" i="72"/>
  <c r="A40" i="72"/>
  <c r="AC39" i="72"/>
  <c r="AB39" i="72"/>
  <c r="AA39" i="72"/>
  <c r="Z39" i="72"/>
  <c r="B39" i="72"/>
  <c r="A39" i="72"/>
  <c r="AC38" i="72"/>
  <c r="AB38" i="72"/>
  <c r="AA38" i="72"/>
  <c r="Z38" i="72"/>
  <c r="B38" i="72"/>
  <c r="A38" i="72"/>
  <c r="AC37" i="72"/>
  <c r="AB37" i="72"/>
  <c r="AA37" i="72"/>
  <c r="Z37" i="72"/>
  <c r="B37" i="72"/>
  <c r="A37" i="72"/>
  <c r="AC36" i="72"/>
  <c r="AB36" i="72"/>
  <c r="AA36" i="72"/>
  <c r="Z36" i="72"/>
  <c r="B36" i="72"/>
  <c r="A36" i="72"/>
  <c r="AC35" i="72"/>
  <c r="AB35" i="72"/>
  <c r="AA35" i="72"/>
  <c r="Z35" i="72"/>
  <c r="B35" i="72"/>
  <c r="A35" i="72"/>
  <c r="AC34" i="72"/>
  <c r="AB34" i="72"/>
  <c r="AA34" i="72"/>
  <c r="Z34" i="72"/>
  <c r="B34" i="72"/>
  <c r="A34" i="72"/>
  <c r="AC33" i="72"/>
  <c r="AB33" i="72"/>
  <c r="AA33" i="72"/>
  <c r="Z33" i="72"/>
  <c r="B33" i="72"/>
  <c r="A33" i="72"/>
  <c r="AC32" i="72"/>
  <c r="AB32" i="72"/>
  <c r="AA32" i="72"/>
  <c r="Z32" i="72"/>
  <c r="B32" i="72"/>
  <c r="A32" i="72"/>
  <c r="AC31" i="72"/>
  <c r="AB31" i="72"/>
  <c r="AA31" i="72"/>
  <c r="Z31" i="72"/>
  <c r="B31" i="72"/>
  <c r="A31" i="72"/>
  <c r="AC30" i="72"/>
  <c r="AB30" i="72"/>
  <c r="AA30" i="72"/>
  <c r="Z30" i="72"/>
  <c r="B30" i="72"/>
  <c r="A30" i="72"/>
  <c r="AC29" i="72"/>
  <c r="AB29" i="72"/>
  <c r="AA29" i="72"/>
  <c r="Z29" i="72"/>
  <c r="B29" i="72"/>
  <c r="A29" i="72"/>
  <c r="AC28" i="72"/>
  <c r="AB28" i="72"/>
  <c r="AA28" i="72"/>
  <c r="Z28" i="72"/>
  <c r="B28" i="72"/>
  <c r="A28" i="72"/>
  <c r="AC27" i="72"/>
  <c r="AB27" i="72"/>
  <c r="AA27" i="72"/>
  <c r="Z27" i="72"/>
  <c r="B27" i="72"/>
  <c r="A27" i="72"/>
  <c r="AC26" i="72"/>
  <c r="AB26" i="72"/>
  <c r="AA26" i="72"/>
  <c r="Z26" i="72"/>
  <c r="B26" i="72"/>
  <c r="A26" i="72"/>
  <c r="AC25" i="72"/>
  <c r="AB25" i="72"/>
  <c r="AA25" i="72"/>
  <c r="Z25" i="72"/>
  <c r="B25" i="72"/>
  <c r="A25" i="72"/>
  <c r="AC24" i="72"/>
  <c r="AB24" i="72"/>
  <c r="AA24" i="72"/>
  <c r="Z24" i="72"/>
  <c r="B24" i="72"/>
  <c r="A24" i="72"/>
  <c r="AC23" i="72"/>
  <c r="AB23" i="72"/>
  <c r="AA23" i="72"/>
  <c r="Z23" i="72"/>
  <c r="B23" i="72"/>
  <c r="A23" i="72"/>
  <c r="AC22" i="72"/>
  <c r="AB22" i="72"/>
  <c r="AA22" i="72"/>
  <c r="Z22" i="72"/>
  <c r="B22" i="72"/>
  <c r="A22" i="72"/>
  <c r="AC21" i="72"/>
  <c r="AB21" i="72"/>
  <c r="AA21" i="72"/>
  <c r="Z21" i="72"/>
  <c r="B21" i="72"/>
  <c r="A21" i="72"/>
  <c r="AC20" i="72"/>
  <c r="AB20" i="72"/>
  <c r="AA20" i="72"/>
  <c r="Z20" i="72"/>
  <c r="B20" i="72"/>
  <c r="A20" i="72"/>
  <c r="AC19" i="72"/>
  <c r="AB19" i="72"/>
  <c r="AA19" i="72"/>
  <c r="Z19" i="72"/>
  <c r="B19" i="72"/>
  <c r="A19" i="72"/>
  <c r="AC18" i="72"/>
  <c r="AB18" i="72"/>
  <c r="AA18" i="72"/>
  <c r="Z18" i="72"/>
  <c r="B18" i="72"/>
  <c r="A18" i="72"/>
  <c r="AC17" i="72"/>
  <c r="AB17" i="72"/>
  <c r="AA17" i="72"/>
  <c r="Z17" i="72"/>
  <c r="B17" i="72"/>
  <c r="A17" i="72"/>
  <c r="AC16" i="72"/>
  <c r="AB16" i="72"/>
  <c r="AA16" i="72"/>
  <c r="Z16" i="72"/>
  <c r="B16" i="72"/>
  <c r="A16" i="72"/>
  <c r="AC15" i="72"/>
  <c r="AB15" i="72"/>
  <c r="AA15" i="72"/>
  <c r="Z15" i="72"/>
  <c r="B15" i="72"/>
  <c r="A15" i="72"/>
  <c r="AC14" i="72"/>
  <c r="AB14" i="72"/>
  <c r="AA14" i="72"/>
  <c r="Z14" i="72"/>
  <c r="B14" i="72"/>
  <c r="A14" i="72"/>
  <c r="AC13" i="72"/>
  <c r="AB13" i="72"/>
  <c r="AA13" i="72"/>
  <c r="Z13" i="72"/>
  <c r="B13" i="72"/>
  <c r="A13" i="72"/>
  <c r="AC12" i="72"/>
  <c r="AB12" i="72"/>
  <c r="AA12" i="72"/>
  <c r="Z12" i="72"/>
  <c r="B12" i="72"/>
  <c r="A12" i="72"/>
  <c r="AC11" i="72"/>
  <c r="AB11" i="72"/>
  <c r="AA11" i="72"/>
  <c r="Z11" i="72"/>
  <c r="B11" i="72"/>
  <c r="A11" i="72"/>
  <c r="AC10" i="72"/>
  <c r="AB10" i="72"/>
  <c r="AA10" i="72"/>
  <c r="Z10" i="72"/>
  <c r="B10" i="72"/>
  <c r="A10" i="72"/>
  <c r="AC9" i="72"/>
  <c r="AB9" i="72"/>
  <c r="AA9" i="72"/>
  <c r="Z9" i="72"/>
  <c r="B9" i="72"/>
  <c r="A9" i="72"/>
  <c r="AC8" i="72"/>
  <c r="AB8" i="72"/>
  <c r="AA8" i="72"/>
  <c r="Z8" i="72"/>
  <c r="B8" i="72"/>
  <c r="A8" i="72"/>
  <c r="AC7" i="72"/>
  <c r="AB7" i="72"/>
  <c r="AA7" i="72"/>
  <c r="Z7" i="72"/>
  <c r="B7" i="72"/>
  <c r="A7" i="72"/>
  <c r="X5" i="72"/>
  <c r="W5" i="72"/>
  <c r="AD4" i="72"/>
  <c r="S177" i="71"/>
  <c r="N177" i="71"/>
  <c r="F177" i="71"/>
  <c r="D177" i="71"/>
  <c r="C177" i="71"/>
  <c r="AC176" i="71"/>
  <c r="AD176" i="71" s="1"/>
  <c r="AB176" i="71"/>
  <c r="AA176" i="71"/>
  <c r="Y176" i="71"/>
  <c r="X176" i="71"/>
  <c r="W176" i="71"/>
  <c r="AC175" i="71"/>
  <c r="AD175" i="71" s="1"/>
  <c r="AB175" i="71"/>
  <c r="AA175" i="71"/>
  <c r="Y175" i="71"/>
  <c r="X175" i="71"/>
  <c r="W175" i="71"/>
  <c r="AD174" i="71"/>
  <c r="AC174" i="71"/>
  <c r="AB174" i="71"/>
  <c r="AA174" i="71"/>
  <c r="Y174" i="71"/>
  <c r="X174" i="71"/>
  <c r="W174" i="71"/>
  <c r="AC173" i="71"/>
  <c r="AB173" i="71"/>
  <c r="AA173" i="71"/>
  <c r="Y173" i="71"/>
  <c r="X173" i="71"/>
  <c r="W173" i="71"/>
  <c r="AC172" i="71"/>
  <c r="AD172" i="71" s="1"/>
  <c r="AB172" i="71"/>
  <c r="AA172" i="71"/>
  <c r="Y172" i="71"/>
  <c r="X172" i="71"/>
  <c r="W172" i="71"/>
  <c r="AC171" i="71"/>
  <c r="AB171" i="71"/>
  <c r="AA171" i="71"/>
  <c r="Y171" i="71"/>
  <c r="X171" i="71"/>
  <c r="W171" i="71"/>
  <c r="AC170" i="71"/>
  <c r="AD170" i="71" s="1"/>
  <c r="AB170" i="71"/>
  <c r="AA170" i="71"/>
  <c r="Y170" i="71"/>
  <c r="X170" i="71"/>
  <c r="W170" i="71"/>
  <c r="AC169" i="71"/>
  <c r="AD169" i="71" s="1"/>
  <c r="AB169" i="71"/>
  <c r="AA169" i="71"/>
  <c r="Y169" i="71"/>
  <c r="X169" i="71"/>
  <c r="W169" i="71"/>
  <c r="AC168" i="71"/>
  <c r="AD168" i="71" s="1"/>
  <c r="AB168" i="71"/>
  <c r="AA168" i="71"/>
  <c r="Y168" i="71"/>
  <c r="X168" i="71"/>
  <c r="W168" i="71"/>
  <c r="AC167" i="71"/>
  <c r="AD167" i="71" s="1"/>
  <c r="AB167" i="71"/>
  <c r="AA167" i="71"/>
  <c r="Y167" i="71"/>
  <c r="X167" i="71"/>
  <c r="W167" i="71"/>
  <c r="AD166" i="71"/>
  <c r="AC166" i="71"/>
  <c r="AB166" i="71"/>
  <c r="AA166" i="71"/>
  <c r="Y166" i="71"/>
  <c r="X166" i="71"/>
  <c r="W166" i="71"/>
  <c r="AC165" i="71"/>
  <c r="AB165" i="71"/>
  <c r="AA165" i="71"/>
  <c r="Y165" i="71"/>
  <c r="X165" i="71"/>
  <c r="W165" i="71"/>
  <c r="AC164" i="71"/>
  <c r="AD164" i="71" s="1"/>
  <c r="AB164" i="71"/>
  <c r="AA164" i="71"/>
  <c r="Y164" i="71"/>
  <c r="X164" i="71"/>
  <c r="W164" i="71"/>
  <c r="AC163" i="71"/>
  <c r="AB163" i="71"/>
  <c r="AA163" i="71"/>
  <c r="Y163" i="71"/>
  <c r="X163" i="71"/>
  <c r="W163" i="71"/>
  <c r="AC162" i="71"/>
  <c r="AD162" i="71" s="1"/>
  <c r="AB162" i="71"/>
  <c r="AA162" i="71"/>
  <c r="Y162" i="71"/>
  <c r="X162" i="71"/>
  <c r="W162" i="71"/>
  <c r="AC161" i="71"/>
  <c r="AD161" i="71" s="1"/>
  <c r="AB161" i="71"/>
  <c r="AA161" i="71"/>
  <c r="Y161" i="71"/>
  <c r="X161" i="71"/>
  <c r="W161" i="71"/>
  <c r="AC160" i="71"/>
  <c r="AD160" i="71" s="1"/>
  <c r="AB160" i="71"/>
  <c r="AA160" i="71"/>
  <c r="Y160" i="71"/>
  <c r="X160" i="71"/>
  <c r="W160" i="71"/>
  <c r="AC159" i="71"/>
  <c r="AD159" i="71" s="1"/>
  <c r="AB159" i="71"/>
  <c r="AA159" i="71"/>
  <c r="Y159" i="71"/>
  <c r="X159" i="71"/>
  <c r="W159" i="71"/>
  <c r="AD158" i="71"/>
  <c r="AC158" i="71"/>
  <c r="AB158" i="71"/>
  <c r="AA158" i="71"/>
  <c r="Y158" i="71"/>
  <c r="X158" i="71"/>
  <c r="W158" i="71"/>
  <c r="AC157" i="71"/>
  <c r="AB157" i="71"/>
  <c r="AA157" i="71"/>
  <c r="Y157" i="71"/>
  <c r="X157" i="71"/>
  <c r="W157" i="71"/>
  <c r="AC156" i="71"/>
  <c r="AB156" i="71"/>
  <c r="AA156" i="71"/>
  <c r="Y156" i="71"/>
  <c r="X156" i="71"/>
  <c r="W156" i="71"/>
  <c r="Z156" i="71" s="1"/>
  <c r="AD156" i="71" s="1"/>
  <c r="AC155" i="71"/>
  <c r="AB155" i="71"/>
  <c r="AA155" i="71"/>
  <c r="Y155" i="71"/>
  <c r="X155" i="71"/>
  <c r="W155" i="71"/>
  <c r="AC154" i="71"/>
  <c r="AB154" i="71"/>
  <c r="AA154" i="71"/>
  <c r="Y154" i="71"/>
  <c r="X154" i="71"/>
  <c r="W154" i="71"/>
  <c r="Z154" i="71" s="1"/>
  <c r="AD154" i="71" s="1"/>
  <c r="AC153" i="71"/>
  <c r="AB153" i="71"/>
  <c r="AA153" i="71"/>
  <c r="Y153" i="71"/>
  <c r="X153" i="71"/>
  <c r="W153" i="71"/>
  <c r="Z153" i="71" s="1"/>
  <c r="AD153" i="71" s="1"/>
  <c r="AC152" i="71"/>
  <c r="AD152" i="71" s="1"/>
  <c r="AB152" i="71"/>
  <c r="AA152" i="71"/>
  <c r="Y152" i="71"/>
  <c r="X152" i="71"/>
  <c r="W152" i="71"/>
  <c r="Z152" i="71" s="1"/>
  <c r="AC151" i="71"/>
  <c r="AD151" i="71" s="1"/>
  <c r="AB151" i="71"/>
  <c r="AA151" i="71"/>
  <c r="Y151" i="71"/>
  <c r="X151" i="71"/>
  <c r="W151" i="71"/>
  <c r="Z151" i="71" s="1"/>
  <c r="AC150" i="71"/>
  <c r="AB150" i="71"/>
  <c r="AA150" i="71"/>
  <c r="Y150" i="71"/>
  <c r="X150" i="71"/>
  <c r="W150" i="71"/>
  <c r="AC149" i="71"/>
  <c r="AB149" i="71"/>
  <c r="AA149" i="71"/>
  <c r="Y149" i="71"/>
  <c r="X149" i="71"/>
  <c r="W149" i="71"/>
  <c r="Z149" i="71" s="1"/>
  <c r="AD149" i="71" s="1"/>
  <c r="AC148" i="71"/>
  <c r="AB148" i="71"/>
  <c r="AA148" i="71"/>
  <c r="Y148" i="71"/>
  <c r="X148" i="71"/>
  <c r="W148" i="71"/>
  <c r="Z148" i="71" s="1"/>
  <c r="AD148" i="71" s="1"/>
  <c r="AC147" i="71"/>
  <c r="AB147" i="71"/>
  <c r="AA147" i="71"/>
  <c r="Y147" i="71"/>
  <c r="X147" i="71"/>
  <c r="W147" i="71"/>
  <c r="Z147" i="71" s="1"/>
  <c r="AD147" i="71" s="1"/>
  <c r="AC146" i="71"/>
  <c r="AB146" i="71"/>
  <c r="AA146" i="71"/>
  <c r="Y146" i="71"/>
  <c r="X146" i="71"/>
  <c r="W146" i="71"/>
  <c r="AC145" i="71"/>
  <c r="AB145" i="71"/>
  <c r="AA145" i="71"/>
  <c r="Y145" i="71"/>
  <c r="X145" i="71"/>
  <c r="W145" i="71"/>
  <c r="Z145" i="71" s="1"/>
  <c r="AD145" i="71" s="1"/>
  <c r="AC144" i="71"/>
  <c r="AB144" i="71"/>
  <c r="AA144" i="71"/>
  <c r="Y144" i="71"/>
  <c r="X144" i="71"/>
  <c r="W144" i="71"/>
  <c r="Z144" i="71" s="1"/>
  <c r="AC143" i="71"/>
  <c r="AD143" i="71" s="1"/>
  <c r="AB143" i="71"/>
  <c r="AA143" i="71"/>
  <c r="Y143" i="71"/>
  <c r="X143" i="71"/>
  <c r="W143" i="71"/>
  <c r="Z143" i="71" s="1"/>
  <c r="AC142" i="71"/>
  <c r="AB142" i="71"/>
  <c r="AA142" i="71"/>
  <c r="Y142" i="71"/>
  <c r="X142" i="71"/>
  <c r="W142" i="71"/>
  <c r="AC141" i="71"/>
  <c r="AB141" i="71"/>
  <c r="AA141" i="71"/>
  <c r="Y141" i="71"/>
  <c r="X141" i="71"/>
  <c r="W141" i="71"/>
  <c r="Z141" i="71" s="1"/>
  <c r="AD141" i="71" s="1"/>
  <c r="AC140" i="71"/>
  <c r="AB140" i="71"/>
  <c r="AA140" i="71"/>
  <c r="Y140" i="71"/>
  <c r="X140" i="71"/>
  <c r="W140" i="71"/>
  <c r="Z140" i="71" s="1"/>
  <c r="AD140" i="71" s="1"/>
  <c r="AC139" i="71"/>
  <c r="AB139" i="71"/>
  <c r="AA139" i="71"/>
  <c r="Y139" i="71"/>
  <c r="X139" i="71"/>
  <c r="W139" i="71"/>
  <c r="Z139" i="71" s="1"/>
  <c r="AD139" i="71" s="1"/>
  <c r="AC138" i="71"/>
  <c r="AB138" i="71"/>
  <c r="AA138" i="71"/>
  <c r="Y138" i="71"/>
  <c r="X138" i="71"/>
  <c r="W138" i="71"/>
  <c r="AC137" i="71"/>
  <c r="AB137" i="71"/>
  <c r="AA137" i="71"/>
  <c r="Y137" i="71"/>
  <c r="X137" i="71"/>
  <c r="W137" i="71"/>
  <c r="AC136" i="71"/>
  <c r="AB136" i="71"/>
  <c r="AA136" i="71"/>
  <c r="Y136" i="71"/>
  <c r="X136" i="71"/>
  <c r="W136" i="71"/>
  <c r="Z136" i="71" s="1"/>
  <c r="AC135" i="71"/>
  <c r="AD135" i="71" s="1"/>
  <c r="AB135" i="71"/>
  <c r="AA135" i="71"/>
  <c r="Y135" i="71"/>
  <c r="X135" i="71"/>
  <c r="W135" i="71"/>
  <c r="Z135" i="71" s="1"/>
  <c r="AC134" i="71"/>
  <c r="AD134" i="71" s="1"/>
  <c r="AB134" i="71"/>
  <c r="AA134" i="71"/>
  <c r="Y134" i="71"/>
  <c r="X134" i="71"/>
  <c r="W134" i="71"/>
  <c r="Z134" i="71" s="1"/>
  <c r="AC133" i="71"/>
  <c r="AB133" i="71"/>
  <c r="AA133" i="71"/>
  <c r="Y133" i="71"/>
  <c r="X133" i="71"/>
  <c r="W133" i="71"/>
  <c r="AC132" i="71"/>
  <c r="AB132" i="71"/>
  <c r="AA132" i="71"/>
  <c r="Y132" i="71"/>
  <c r="X132" i="71"/>
  <c r="W132" i="71"/>
  <c r="Z132" i="71" s="1"/>
  <c r="AD132" i="71" s="1"/>
  <c r="AC131" i="71"/>
  <c r="AB131" i="71"/>
  <c r="AA131" i="71"/>
  <c r="Y131" i="71"/>
  <c r="X131" i="71"/>
  <c r="W131" i="71"/>
  <c r="Z131" i="71" s="1"/>
  <c r="AD131" i="71" s="1"/>
  <c r="AC130" i="71"/>
  <c r="AB130" i="71"/>
  <c r="AA130" i="71"/>
  <c r="Y130" i="71"/>
  <c r="X130" i="71"/>
  <c r="W130" i="71"/>
  <c r="Z130" i="71" s="1"/>
  <c r="AD130" i="71" s="1"/>
  <c r="AC129" i="71"/>
  <c r="AB129" i="71"/>
  <c r="AA129" i="71"/>
  <c r="Y129" i="71"/>
  <c r="X129" i="71"/>
  <c r="W129" i="71"/>
  <c r="AC128" i="71"/>
  <c r="AB128" i="71"/>
  <c r="AA128" i="71"/>
  <c r="Y128" i="71"/>
  <c r="X128" i="71"/>
  <c r="W128" i="71"/>
  <c r="Z128" i="71" s="1"/>
  <c r="AC127" i="71"/>
  <c r="AB127" i="71"/>
  <c r="AA127" i="71"/>
  <c r="Y127" i="71"/>
  <c r="X127" i="71"/>
  <c r="W127" i="71"/>
  <c r="Z127" i="71" s="1"/>
  <c r="AC126" i="71"/>
  <c r="AD126" i="71" s="1"/>
  <c r="AB126" i="71"/>
  <c r="AA126" i="71"/>
  <c r="Y126" i="71"/>
  <c r="X126" i="71"/>
  <c r="W126" i="71"/>
  <c r="Z126" i="71" s="1"/>
  <c r="AC125" i="71"/>
  <c r="AB125" i="71"/>
  <c r="AA125" i="71"/>
  <c r="Y125" i="71"/>
  <c r="X125" i="71"/>
  <c r="W125" i="71"/>
  <c r="AC124" i="71"/>
  <c r="AB124" i="71"/>
  <c r="AA124" i="71"/>
  <c r="Y124" i="71"/>
  <c r="X124" i="71"/>
  <c r="W124" i="71"/>
  <c r="Z124" i="71" s="1"/>
  <c r="AD124" i="71" s="1"/>
  <c r="AC123" i="71"/>
  <c r="AB123" i="71"/>
  <c r="AA123" i="71"/>
  <c r="Y123" i="71"/>
  <c r="X123" i="71"/>
  <c r="W123" i="71"/>
  <c r="Z123" i="71" s="1"/>
  <c r="AD123" i="71" s="1"/>
  <c r="AC122" i="71"/>
  <c r="AB122" i="71"/>
  <c r="AA122" i="71"/>
  <c r="Y122" i="71"/>
  <c r="X122" i="71"/>
  <c r="W122" i="71"/>
  <c r="Z122" i="71" s="1"/>
  <c r="AD122" i="71" s="1"/>
  <c r="AD121" i="71"/>
  <c r="AC121" i="71"/>
  <c r="AB121" i="71"/>
  <c r="AA121" i="71"/>
  <c r="Y121" i="71"/>
  <c r="X121" i="71"/>
  <c r="W121" i="71"/>
  <c r="Z121" i="71" s="1"/>
  <c r="AC120" i="71"/>
  <c r="AB120" i="71"/>
  <c r="AA120" i="71"/>
  <c r="Y120" i="71"/>
  <c r="X120" i="71"/>
  <c r="W120" i="71"/>
  <c r="AC119" i="71"/>
  <c r="AB119" i="71"/>
  <c r="AA119" i="71"/>
  <c r="Y119" i="71"/>
  <c r="X119" i="71"/>
  <c r="W119" i="71"/>
  <c r="Z119" i="71" s="1"/>
  <c r="AC118" i="71"/>
  <c r="AD118" i="71" s="1"/>
  <c r="AB118" i="71"/>
  <c r="AA118" i="71"/>
  <c r="Y118" i="71"/>
  <c r="X118" i="71"/>
  <c r="W118" i="71"/>
  <c r="Z118" i="71" s="1"/>
  <c r="AC117" i="71"/>
  <c r="AB117" i="71"/>
  <c r="AA117" i="71"/>
  <c r="Y117" i="71"/>
  <c r="X117" i="71"/>
  <c r="W117" i="71"/>
  <c r="Z117" i="71" s="1"/>
  <c r="AD117" i="71" s="1"/>
  <c r="AC116" i="71"/>
  <c r="AB116" i="71"/>
  <c r="AA116" i="71"/>
  <c r="Y116" i="71"/>
  <c r="X116" i="71"/>
  <c r="W116" i="71"/>
  <c r="AC115" i="71"/>
  <c r="AB115" i="71"/>
  <c r="AA115" i="71"/>
  <c r="Y115" i="71"/>
  <c r="X115" i="71"/>
  <c r="W115" i="71"/>
  <c r="Z115" i="71" s="1"/>
  <c r="AD115" i="71" s="1"/>
  <c r="AC114" i="71"/>
  <c r="AB114" i="71"/>
  <c r="AA114" i="71"/>
  <c r="Y114" i="71"/>
  <c r="X114" i="71"/>
  <c r="W114" i="71"/>
  <c r="Z114" i="71" s="1"/>
  <c r="AD114" i="71" s="1"/>
  <c r="AD113" i="71"/>
  <c r="AC113" i="71"/>
  <c r="AB113" i="71"/>
  <c r="AA113" i="71"/>
  <c r="Y113" i="71"/>
  <c r="X113" i="71"/>
  <c r="W113" i="71"/>
  <c r="Z113" i="71" s="1"/>
  <c r="AC112" i="71"/>
  <c r="AB112" i="71"/>
  <c r="AA112" i="71"/>
  <c r="Y112" i="71"/>
  <c r="X112" i="71"/>
  <c r="W112" i="71"/>
  <c r="AC111" i="71"/>
  <c r="AB111" i="71"/>
  <c r="AA111" i="71"/>
  <c r="Y111" i="71"/>
  <c r="X111" i="71"/>
  <c r="W111" i="71"/>
  <c r="Z111" i="71" s="1"/>
  <c r="AC110" i="71"/>
  <c r="AB110" i="71"/>
  <c r="AA110" i="71"/>
  <c r="Y110" i="71"/>
  <c r="X110" i="71"/>
  <c r="W110" i="71"/>
  <c r="Z110" i="71" s="1"/>
  <c r="AC109" i="71"/>
  <c r="AB109" i="71"/>
  <c r="AA109" i="71"/>
  <c r="Y109" i="71"/>
  <c r="X109" i="71"/>
  <c r="W109" i="71"/>
  <c r="Z109" i="71" s="1"/>
  <c r="AD109" i="71" s="1"/>
  <c r="AC108" i="71"/>
  <c r="AB108" i="71"/>
  <c r="AA108" i="71"/>
  <c r="Y108" i="71"/>
  <c r="X108" i="71"/>
  <c r="W108" i="71"/>
  <c r="AC107" i="71"/>
  <c r="AB107" i="71"/>
  <c r="AA107" i="71"/>
  <c r="Y107" i="71"/>
  <c r="X107" i="71"/>
  <c r="W107" i="71"/>
  <c r="Z107" i="71" s="1"/>
  <c r="AD107" i="71" s="1"/>
  <c r="AC106" i="71"/>
  <c r="AB106" i="71"/>
  <c r="AA106" i="71"/>
  <c r="Y106" i="71"/>
  <c r="X106" i="71"/>
  <c r="W106" i="71"/>
  <c r="Z106" i="71" s="1"/>
  <c r="AD106" i="71" s="1"/>
  <c r="AD105" i="71"/>
  <c r="AC105" i="71"/>
  <c r="AB105" i="71"/>
  <c r="AA105" i="71"/>
  <c r="Y105" i="71"/>
  <c r="X105" i="71"/>
  <c r="W105" i="71"/>
  <c r="Z105" i="71" s="1"/>
  <c r="AC104" i="71"/>
  <c r="AD104" i="71" s="1"/>
  <c r="AB104" i="71"/>
  <c r="AA104" i="71"/>
  <c r="Y104" i="71"/>
  <c r="X104" i="71"/>
  <c r="W104" i="71"/>
  <c r="Z104" i="71" s="1"/>
  <c r="AC103" i="71"/>
  <c r="AB103" i="71"/>
  <c r="AA103" i="71"/>
  <c r="Y103" i="71"/>
  <c r="X103" i="71"/>
  <c r="W103" i="71"/>
  <c r="AC102" i="71"/>
  <c r="AB102" i="71"/>
  <c r="AA102" i="71"/>
  <c r="Y102" i="71"/>
  <c r="X102" i="71"/>
  <c r="W102" i="71"/>
  <c r="Z102" i="71" s="1"/>
  <c r="AC101" i="71"/>
  <c r="AB101" i="71"/>
  <c r="AA101" i="71"/>
  <c r="Y101" i="71"/>
  <c r="X101" i="71"/>
  <c r="W101" i="71"/>
  <c r="Z101" i="71" s="1"/>
  <c r="AD101" i="71" s="1"/>
  <c r="AC100" i="71"/>
  <c r="AB100" i="71"/>
  <c r="AA100" i="71"/>
  <c r="Y100" i="71"/>
  <c r="X100" i="71"/>
  <c r="W100" i="71"/>
  <c r="Z100" i="71" s="1"/>
  <c r="AD100" i="71" s="1"/>
  <c r="AC99" i="71"/>
  <c r="AB99" i="71"/>
  <c r="AA99" i="71"/>
  <c r="Y99" i="71"/>
  <c r="X99" i="71"/>
  <c r="W99" i="71"/>
  <c r="AC98" i="71"/>
  <c r="AB98" i="71"/>
  <c r="AA98" i="71"/>
  <c r="Y98" i="71"/>
  <c r="X98" i="71"/>
  <c r="W98" i="71"/>
  <c r="AD97" i="71"/>
  <c r="AC97" i="71"/>
  <c r="AB97" i="71"/>
  <c r="AA97" i="71"/>
  <c r="AC96" i="71"/>
  <c r="AB96" i="71"/>
  <c r="AA96" i="71"/>
  <c r="Y96" i="71"/>
  <c r="X96" i="71"/>
  <c r="W96" i="71"/>
  <c r="AC95" i="71"/>
  <c r="AB95" i="71"/>
  <c r="AA95" i="71"/>
  <c r="Y95" i="71"/>
  <c r="X95" i="71"/>
  <c r="W95" i="71"/>
  <c r="Y94" i="71"/>
  <c r="X94" i="71"/>
  <c r="W94" i="71"/>
  <c r="A92" i="71"/>
  <c r="AC91" i="71"/>
  <c r="AB91" i="71"/>
  <c r="AA91" i="71"/>
  <c r="Y91" i="71"/>
  <c r="X91" i="71"/>
  <c r="W91" i="71"/>
  <c r="B91" i="71"/>
  <c r="A91" i="71"/>
  <c r="AC90" i="71"/>
  <c r="AB90" i="71"/>
  <c r="AA90" i="71"/>
  <c r="Z90" i="71"/>
  <c r="B90" i="71"/>
  <c r="A90" i="71"/>
  <c r="AC89" i="71"/>
  <c r="AB89" i="71"/>
  <c r="AA89" i="71"/>
  <c r="Z89" i="71"/>
  <c r="B89" i="71"/>
  <c r="A89" i="71"/>
  <c r="AC88" i="71"/>
  <c r="AB88" i="71"/>
  <c r="AA88" i="71"/>
  <c r="Z88" i="71"/>
  <c r="B88" i="71"/>
  <c r="A88" i="71"/>
  <c r="AC87" i="71"/>
  <c r="AB87" i="71"/>
  <c r="AA87" i="71"/>
  <c r="Z87" i="71"/>
  <c r="B87" i="71"/>
  <c r="A87" i="71"/>
  <c r="AC86" i="71"/>
  <c r="AB86" i="71"/>
  <c r="AA86" i="71"/>
  <c r="Z86" i="71"/>
  <c r="B86" i="71"/>
  <c r="A86" i="71"/>
  <c r="AC85" i="71"/>
  <c r="AB85" i="71"/>
  <c r="AA85" i="71"/>
  <c r="Z85" i="71"/>
  <c r="B85" i="71"/>
  <c r="A85" i="71"/>
  <c r="AC84" i="71"/>
  <c r="AB84" i="71"/>
  <c r="AA84" i="71"/>
  <c r="Z84" i="71"/>
  <c r="B84" i="71"/>
  <c r="A84" i="71"/>
  <c r="AC83" i="71"/>
  <c r="AB83" i="71"/>
  <c r="AA83" i="71"/>
  <c r="Z83" i="71"/>
  <c r="B83" i="71"/>
  <c r="A83" i="71"/>
  <c r="AC82" i="71"/>
  <c r="AB82" i="71"/>
  <c r="AA82" i="71"/>
  <c r="Z82" i="71"/>
  <c r="B82" i="71"/>
  <c r="A82" i="71"/>
  <c r="AC81" i="71"/>
  <c r="AB81" i="71"/>
  <c r="AA81" i="71"/>
  <c r="Z81" i="71"/>
  <c r="B81" i="71"/>
  <c r="A81" i="71"/>
  <c r="AC80" i="71"/>
  <c r="AB80" i="71"/>
  <c r="AA80" i="71"/>
  <c r="Z80" i="71"/>
  <c r="B80" i="71"/>
  <c r="A80" i="71"/>
  <c r="AC79" i="71"/>
  <c r="AB79" i="71"/>
  <c r="AA79" i="71"/>
  <c r="Z79" i="71"/>
  <c r="B79" i="71"/>
  <c r="A79" i="71"/>
  <c r="AC78" i="71"/>
  <c r="AB78" i="71"/>
  <c r="AA78" i="71"/>
  <c r="Z78" i="71"/>
  <c r="B78" i="71"/>
  <c r="A78" i="71"/>
  <c r="AC77" i="71"/>
  <c r="AB77" i="71"/>
  <c r="AA77" i="71"/>
  <c r="Z77" i="71"/>
  <c r="B77" i="71"/>
  <c r="A77" i="71"/>
  <c r="AC76" i="71"/>
  <c r="AB76" i="71"/>
  <c r="AA76" i="71"/>
  <c r="Z76" i="71"/>
  <c r="B76" i="71"/>
  <c r="A76" i="71"/>
  <c r="AC75" i="71"/>
  <c r="AB75" i="71"/>
  <c r="AA75" i="71"/>
  <c r="Z75" i="71"/>
  <c r="B75" i="71"/>
  <c r="A75" i="71"/>
  <c r="AC74" i="71"/>
  <c r="AB74" i="71"/>
  <c r="AA74" i="71"/>
  <c r="Z74" i="71"/>
  <c r="B74" i="71"/>
  <c r="A74" i="71"/>
  <c r="AC73" i="71"/>
  <c r="AB73" i="71"/>
  <c r="AA73" i="71"/>
  <c r="Z73" i="71"/>
  <c r="B73" i="71"/>
  <c r="A73" i="71"/>
  <c r="A72" i="71"/>
  <c r="AC71" i="71"/>
  <c r="AB71" i="71"/>
  <c r="AA71" i="71"/>
  <c r="Y71" i="71"/>
  <c r="X71" i="71"/>
  <c r="W71" i="71"/>
  <c r="Z71" i="71" s="1"/>
  <c r="B71" i="71"/>
  <c r="A71" i="71"/>
  <c r="AC70" i="71"/>
  <c r="AB70" i="71"/>
  <c r="AA70" i="71"/>
  <c r="Z70" i="71"/>
  <c r="B70" i="71"/>
  <c r="A70" i="71"/>
  <c r="AC69" i="71"/>
  <c r="AB69" i="71"/>
  <c r="AA69" i="71"/>
  <c r="Z69" i="71"/>
  <c r="B69" i="71"/>
  <c r="A69" i="71"/>
  <c r="AC68" i="71"/>
  <c r="AB68" i="71"/>
  <c r="AA68" i="71"/>
  <c r="Z68" i="71"/>
  <c r="B68" i="71"/>
  <c r="A68" i="71"/>
  <c r="AC67" i="71"/>
  <c r="AB67" i="71"/>
  <c r="AA67" i="71"/>
  <c r="Z67" i="71"/>
  <c r="B67" i="71"/>
  <c r="A67" i="71"/>
  <c r="AC66" i="71"/>
  <c r="AB66" i="71"/>
  <c r="AA66" i="71"/>
  <c r="Z66" i="71"/>
  <c r="B66" i="71"/>
  <c r="A66" i="71"/>
  <c r="AC65" i="71"/>
  <c r="AB65" i="71"/>
  <c r="AA65" i="71"/>
  <c r="Z65" i="71"/>
  <c r="B65" i="71"/>
  <c r="A65" i="71"/>
  <c r="AC64" i="71"/>
  <c r="AB64" i="71"/>
  <c r="AA64" i="71"/>
  <c r="Z64" i="71"/>
  <c r="B64" i="71"/>
  <c r="A64" i="71"/>
  <c r="AC63" i="71"/>
  <c r="AB63" i="71"/>
  <c r="AA63" i="71"/>
  <c r="Z63" i="71"/>
  <c r="B63" i="71"/>
  <c r="A63" i="71"/>
  <c r="AC62" i="71"/>
  <c r="AB62" i="71"/>
  <c r="AA62" i="71"/>
  <c r="Z62" i="71"/>
  <c r="B62" i="71"/>
  <c r="A62" i="71"/>
  <c r="AC61" i="71"/>
  <c r="AB61" i="71"/>
  <c r="AA61" i="71"/>
  <c r="Z61" i="71"/>
  <c r="B61" i="71"/>
  <c r="A61" i="71"/>
  <c r="AC60" i="71"/>
  <c r="AB60" i="71"/>
  <c r="AA60" i="71"/>
  <c r="Z60" i="71"/>
  <c r="B60" i="71"/>
  <c r="A60" i="71"/>
  <c r="AC59" i="71"/>
  <c r="AB59" i="71"/>
  <c r="AA59" i="71"/>
  <c r="Z59" i="71"/>
  <c r="B59" i="71"/>
  <c r="A59" i="71"/>
  <c r="AC58" i="71"/>
  <c r="AB58" i="71"/>
  <c r="AA58" i="71"/>
  <c r="Z58" i="71"/>
  <c r="B58" i="71"/>
  <c r="A58" i="71"/>
  <c r="A57" i="71"/>
  <c r="AC56" i="71"/>
  <c r="AB56" i="71"/>
  <c r="AA56" i="71"/>
  <c r="Y56" i="71"/>
  <c r="X56" i="71"/>
  <c r="W56" i="71"/>
  <c r="Z56" i="71" s="1"/>
  <c r="B56" i="71"/>
  <c r="A56" i="71"/>
  <c r="AC55" i="71"/>
  <c r="AB55" i="71"/>
  <c r="AA55" i="71"/>
  <c r="Z55" i="71"/>
  <c r="B55" i="71"/>
  <c r="A55" i="71"/>
  <c r="AC54" i="71"/>
  <c r="AB54" i="71"/>
  <c r="AA54" i="71"/>
  <c r="Z54" i="71"/>
  <c r="B54" i="71"/>
  <c r="A54" i="71"/>
  <c r="AC53" i="71"/>
  <c r="AB53" i="71"/>
  <c r="AA53" i="71"/>
  <c r="Z53" i="71"/>
  <c r="B53" i="71"/>
  <c r="A53" i="71"/>
  <c r="AC52" i="71"/>
  <c r="AB52" i="71"/>
  <c r="AA52" i="71"/>
  <c r="Z52" i="71"/>
  <c r="B52" i="71"/>
  <c r="A52" i="71"/>
  <c r="AC51" i="71"/>
  <c r="AB51" i="71"/>
  <c r="AA51" i="71"/>
  <c r="Z51" i="71"/>
  <c r="B51" i="71"/>
  <c r="A51" i="71"/>
  <c r="AC50" i="71"/>
  <c r="AB50" i="71"/>
  <c r="AA50" i="71"/>
  <c r="Z50" i="71"/>
  <c r="B50" i="71"/>
  <c r="A50" i="71"/>
  <c r="AC49" i="71"/>
  <c r="AB49" i="71"/>
  <c r="AA49" i="71"/>
  <c r="Z49" i="71"/>
  <c r="B49" i="71"/>
  <c r="A49" i="71"/>
  <c r="AC48" i="71"/>
  <c r="AB48" i="71"/>
  <c r="AA48" i="71"/>
  <c r="Z48" i="71"/>
  <c r="B48" i="71"/>
  <c r="A48" i="71"/>
  <c r="AC47" i="71"/>
  <c r="AB47" i="71"/>
  <c r="AA47" i="71"/>
  <c r="Z47" i="71"/>
  <c r="B47" i="71"/>
  <c r="A47" i="71"/>
  <c r="AC46" i="71"/>
  <c r="AB46" i="71"/>
  <c r="AA46" i="71"/>
  <c r="Z46" i="71"/>
  <c r="B46" i="71"/>
  <c r="A46" i="71"/>
  <c r="AC45" i="71"/>
  <c r="AB45" i="71"/>
  <c r="AA45" i="71"/>
  <c r="Z45" i="71"/>
  <c r="B45" i="71"/>
  <c r="A45" i="71"/>
  <c r="AC44" i="71"/>
  <c r="AB44" i="71"/>
  <c r="AA44" i="71"/>
  <c r="Z44" i="71"/>
  <c r="B44" i="71"/>
  <c r="A44" i="71"/>
  <c r="AC43" i="71"/>
  <c r="AB43" i="71"/>
  <c r="AA43" i="71"/>
  <c r="Z43" i="71"/>
  <c r="B43" i="71"/>
  <c r="A43" i="71"/>
  <c r="AC42" i="71"/>
  <c r="AB42" i="71"/>
  <c r="AA42" i="71"/>
  <c r="Z42" i="71"/>
  <c r="B42" i="71"/>
  <c r="A42" i="71"/>
  <c r="AC41" i="71"/>
  <c r="AB41" i="71"/>
  <c r="AA41" i="71"/>
  <c r="Z41" i="71"/>
  <c r="B41" i="71"/>
  <c r="A41" i="71"/>
  <c r="AC40" i="71"/>
  <c r="AB40" i="71"/>
  <c r="AA40" i="71"/>
  <c r="Z40" i="71"/>
  <c r="B40" i="71"/>
  <c r="A40" i="71"/>
  <c r="AC39" i="71"/>
  <c r="AB39" i="71"/>
  <c r="AA39" i="71"/>
  <c r="Z39" i="71"/>
  <c r="B39" i="71"/>
  <c r="A39" i="71"/>
  <c r="AC38" i="71"/>
  <c r="AB38" i="71"/>
  <c r="AA38" i="71"/>
  <c r="Z38" i="71"/>
  <c r="B38" i="71"/>
  <c r="A38" i="71"/>
  <c r="AC37" i="71"/>
  <c r="AB37" i="71"/>
  <c r="AA37" i="71"/>
  <c r="Z37" i="71"/>
  <c r="B37" i="71"/>
  <c r="A37" i="71"/>
  <c r="AC36" i="71"/>
  <c r="AB36" i="71"/>
  <c r="AA36" i="71"/>
  <c r="Z36" i="71"/>
  <c r="B36" i="71"/>
  <c r="A36" i="71"/>
  <c r="AC35" i="71"/>
  <c r="AB35" i="71"/>
  <c r="AA35" i="71"/>
  <c r="Z35" i="71"/>
  <c r="B35" i="71"/>
  <c r="A35" i="71"/>
  <c r="AC34" i="71"/>
  <c r="AB34" i="71"/>
  <c r="AA34" i="71"/>
  <c r="Z34" i="71"/>
  <c r="B34" i="71"/>
  <c r="A34" i="71"/>
  <c r="AC33" i="71"/>
  <c r="AB33" i="71"/>
  <c r="AA33" i="71"/>
  <c r="Z33" i="71"/>
  <c r="B33" i="71"/>
  <c r="A33" i="71"/>
  <c r="AC32" i="71"/>
  <c r="AB32" i="71"/>
  <c r="AA32" i="71"/>
  <c r="Z32" i="71"/>
  <c r="B32" i="71"/>
  <c r="A32" i="71"/>
  <c r="AC31" i="71"/>
  <c r="AB31" i="71"/>
  <c r="AA31" i="71"/>
  <c r="Z31" i="71"/>
  <c r="B31" i="71"/>
  <c r="A31" i="71"/>
  <c r="AC30" i="71"/>
  <c r="AB30" i="71"/>
  <c r="AA30" i="71"/>
  <c r="Z30" i="71"/>
  <c r="B30" i="71"/>
  <c r="A30" i="71"/>
  <c r="AC29" i="71"/>
  <c r="AB29" i="71"/>
  <c r="AA29" i="71"/>
  <c r="Z29" i="71"/>
  <c r="B29" i="71"/>
  <c r="A29" i="71"/>
  <c r="AC28" i="71"/>
  <c r="AB28" i="71"/>
  <c r="AA28" i="71"/>
  <c r="Z28" i="71"/>
  <c r="B28" i="71"/>
  <c r="A28" i="71"/>
  <c r="AC27" i="71"/>
  <c r="AB27" i="71"/>
  <c r="AA27" i="71"/>
  <c r="Z27" i="71"/>
  <c r="B27" i="71"/>
  <c r="A27" i="71"/>
  <c r="AC26" i="71"/>
  <c r="AB26" i="71"/>
  <c r="AA26" i="71"/>
  <c r="Z26" i="71"/>
  <c r="B26" i="71"/>
  <c r="A26" i="71"/>
  <c r="AC25" i="71"/>
  <c r="AB25" i="71"/>
  <c r="AA25" i="71"/>
  <c r="Z25" i="71"/>
  <c r="B25" i="71"/>
  <c r="A25" i="71"/>
  <c r="AC24" i="71"/>
  <c r="AB24" i="71"/>
  <c r="AA24" i="71"/>
  <c r="Z24" i="71"/>
  <c r="B24" i="71"/>
  <c r="A24" i="71"/>
  <c r="AC23" i="71"/>
  <c r="AB23" i="71"/>
  <c r="AA23" i="71"/>
  <c r="Z23" i="71"/>
  <c r="B23" i="71"/>
  <c r="A23" i="71"/>
  <c r="AC22" i="71"/>
  <c r="AB22" i="71"/>
  <c r="AA22" i="71"/>
  <c r="Z22" i="71"/>
  <c r="B22" i="71"/>
  <c r="A22" i="71"/>
  <c r="AC21" i="71"/>
  <c r="AB21" i="71"/>
  <c r="AA21" i="71"/>
  <c r="Z21" i="71"/>
  <c r="B21" i="71"/>
  <c r="A21" i="71"/>
  <c r="AC20" i="71"/>
  <c r="AB20" i="71"/>
  <c r="AA20" i="71"/>
  <c r="Z20" i="71"/>
  <c r="B20" i="71"/>
  <c r="A20" i="71"/>
  <c r="AC19" i="71"/>
  <c r="AB19" i="71"/>
  <c r="AA19" i="71"/>
  <c r="Z19" i="71"/>
  <c r="B19" i="71"/>
  <c r="A19" i="71"/>
  <c r="AC18" i="71"/>
  <c r="AB18" i="71"/>
  <c r="AA18" i="71"/>
  <c r="Z18" i="71"/>
  <c r="B18" i="71"/>
  <c r="A18" i="71"/>
  <c r="AC17" i="71"/>
  <c r="AB17" i="71"/>
  <c r="AA17" i="71"/>
  <c r="Z17" i="71"/>
  <c r="B17" i="71"/>
  <c r="A17" i="71"/>
  <c r="AC16" i="71"/>
  <c r="AB16" i="71"/>
  <c r="AA16" i="71"/>
  <c r="Z16" i="71"/>
  <c r="B16" i="71"/>
  <c r="A16" i="71"/>
  <c r="AC15" i="71"/>
  <c r="AB15" i="71"/>
  <c r="AA15" i="71"/>
  <c r="Z15" i="71"/>
  <c r="B15" i="71"/>
  <c r="A15" i="71"/>
  <c r="AC14" i="71"/>
  <c r="AB14" i="71"/>
  <c r="AA14" i="71"/>
  <c r="Z14" i="71"/>
  <c r="B14" i="71"/>
  <c r="A14" i="71"/>
  <c r="AC13" i="71"/>
  <c r="AB13" i="71"/>
  <c r="AA13" i="71"/>
  <c r="Z13" i="71"/>
  <c r="B13" i="71"/>
  <c r="A13" i="71"/>
  <c r="AC12" i="71"/>
  <c r="AB12" i="71"/>
  <c r="AA12" i="71"/>
  <c r="Z12" i="71"/>
  <c r="B12" i="71"/>
  <c r="A12" i="71"/>
  <c r="AC11" i="71"/>
  <c r="AB11" i="71"/>
  <c r="AA11" i="71"/>
  <c r="Z11" i="71"/>
  <c r="B11" i="71"/>
  <c r="A11" i="71"/>
  <c r="AC10" i="71"/>
  <c r="AB10" i="71"/>
  <c r="AA10" i="71"/>
  <c r="Z10" i="71"/>
  <c r="B10" i="71"/>
  <c r="A10" i="71"/>
  <c r="AC9" i="71"/>
  <c r="AB9" i="71"/>
  <c r="AA9" i="71"/>
  <c r="Z9" i="71"/>
  <c r="B9" i="71"/>
  <c r="A9" i="71"/>
  <c r="AC8" i="71"/>
  <c r="AB8" i="71"/>
  <c r="AA8" i="71"/>
  <c r="Z8" i="71"/>
  <c r="B8" i="71"/>
  <c r="A8" i="71"/>
  <c r="AC7" i="71"/>
  <c r="AB7" i="71"/>
  <c r="AA7" i="71"/>
  <c r="Z7" i="71"/>
  <c r="B7" i="71"/>
  <c r="A7" i="71"/>
  <c r="X5" i="71"/>
  <c r="W5" i="71"/>
  <c r="AD4" i="71"/>
  <c r="S177" i="70"/>
  <c r="N177" i="70"/>
  <c r="F177" i="70"/>
  <c r="D177" i="70"/>
  <c r="C177" i="70"/>
  <c r="AC176" i="70"/>
  <c r="AD176" i="70" s="1"/>
  <c r="AB176" i="70"/>
  <c r="AA176" i="70"/>
  <c r="Y176" i="70"/>
  <c r="X176" i="70"/>
  <c r="W176" i="70"/>
  <c r="AC175" i="70"/>
  <c r="AD175" i="70" s="1"/>
  <c r="AB175" i="70"/>
  <c r="AA175" i="70"/>
  <c r="Y175" i="70"/>
  <c r="X175" i="70"/>
  <c r="W175" i="70"/>
  <c r="AD174" i="70"/>
  <c r="AC174" i="70"/>
  <c r="AB174" i="70"/>
  <c r="AA174" i="70"/>
  <c r="Y174" i="70"/>
  <c r="X174" i="70"/>
  <c r="W174" i="70"/>
  <c r="AC173" i="70"/>
  <c r="AD173" i="70" s="1"/>
  <c r="AB173" i="70"/>
  <c r="AA173" i="70"/>
  <c r="Y173" i="70"/>
  <c r="X173" i="70"/>
  <c r="W173" i="70"/>
  <c r="AC172" i="70"/>
  <c r="AB172" i="70"/>
  <c r="AA172" i="70"/>
  <c r="Y172" i="70"/>
  <c r="X172" i="70"/>
  <c r="W172" i="70"/>
  <c r="AC171" i="70"/>
  <c r="AD171" i="70" s="1"/>
  <c r="AB171" i="70"/>
  <c r="AA171" i="70"/>
  <c r="Y171" i="70"/>
  <c r="X171" i="70"/>
  <c r="W171" i="70"/>
  <c r="AC170" i="70"/>
  <c r="AD170" i="70" s="1"/>
  <c r="AB170" i="70"/>
  <c r="AA170" i="70"/>
  <c r="Y170" i="70"/>
  <c r="X170" i="70"/>
  <c r="W170" i="70"/>
  <c r="AC169" i="70"/>
  <c r="AB169" i="70"/>
  <c r="AA169" i="70"/>
  <c r="Y169" i="70"/>
  <c r="X169" i="70"/>
  <c r="W169" i="70"/>
  <c r="AC168" i="70"/>
  <c r="AD168" i="70" s="1"/>
  <c r="AB168" i="70"/>
  <c r="AA168" i="70"/>
  <c r="Y168" i="70"/>
  <c r="X168" i="70"/>
  <c r="W168" i="70"/>
  <c r="AC167" i="70"/>
  <c r="AD167" i="70" s="1"/>
  <c r="AB167" i="70"/>
  <c r="AA167" i="70"/>
  <c r="Y167" i="70"/>
  <c r="X167" i="70"/>
  <c r="W167" i="70"/>
  <c r="AD166" i="70"/>
  <c r="AC166" i="70"/>
  <c r="AB166" i="70"/>
  <c r="AA166" i="70"/>
  <c r="Y166" i="70"/>
  <c r="X166" i="70"/>
  <c r="W166" i="70"/>
  <c r="AD165" i="70"/>
  <c r="AC165" i="70"/>
  <c r="AB165" i="70"/>
  <c r="AA165" i="70"/>
  <c r="Y165" i="70"/>
  <c r="X165" i="70"/>
  <c r="W165" i="70"/>
  <c r="AC164" i="70"/>
  <c r="AB164" i="70"/>
  <c r="AA164" i="70"/>
  <c r="Y164" i="70"/>
  <c r="X164" i="70"/>
  <c r="W164" i="70"/>
  <c r="AC163" i="70"/>
  <c r="AD163" i="70" s="1"/>
  <c r="AB163" i="70"/>
  <c r="AA163" i="70"/>
  <c r="Y163" i="70"/>
  <c r="X163" i="70"/>
  <c r="W163" i="70"/>
  <c r="AC162" i="70"/>
  <c r="AD162" i="70" s="1"/>
  <c r="AB162" i="70"/>
  <c r="AA162" i="70"/>
  <c r="Y162" i="70"/>
  <c r="X162" i="70"/>
  <c r="W162" i="70"/>
  <c r="AC161" i="70"/>
  <c r="AD161" i="70" s="1"/>
  <c r="AB161" i="70"/>
  <c r="AA161" i="70"/>
  <c r="Y161" i="70"/>
  <c r="X161" i="70"/>
  <c r="W161" i="70"/>
  <c r="AC160" i="70"/>
  <c r="AD160" i="70" s="1"/>
  <c r="AB160" i="70"/>
  <c r="AA160" i="70"/>
  <c r="Y160" i="70"/>
  <c r="X160" i="70"/>
  <c r="W160" i="70"/>
  <c r="AC159" i="70"/>
  <c r="AD159" i="70" s="1"/>
  <c r="AB159" i="70"/>
  <c r="AA159" i="70"/>
  <c r="Y159" i="70"/>
  <c r="X159" i="70"/>
  <c r="W159" i="70"/>
  <c r="AD158" i="70"/>
  <c r="AC158" i="70"/>
  <c r="AB158" i="70"/>
  <c r="AA158" i="70"/>
  <c r="Y158" i="70"/>
  <c r="X158" i="70"/>
  <c r="W158" i="70"/>
  <c r="AC157" i="70"/>
  <c r="AB157" i="70"/>
  <c r="AA157" i="70"/>
  <c r="Y157" i="70"/>
  <c r="X157" i="70"/>
  <c r="W157" i="70"/>
  <c r="AC156" i="70"/>
  <c r="AB156" i="70"/>
  <c r="AA156" i="70"/>
  <c r="Y156" i="70"/>
  <c r="X156" i="70"/>
  <c r="W156" i="70"/>
  <c r="Z156" i="70" s="1"/>
  <c r="AC155" i="70"/>
  <c r="AB155" i="70"/>
  <c r="AA155" i="70"/>
  <c r="Y155" i="70"/>
  <c r="X155" i="70"/>
  <c r="W155" i="70"/>
  <c r="Z155" i="70" s="1"/>
  <c r="AD155" i="70" s="1"/>
  <c r="AC154" i="70"/>
  <c r="AB154" i="70"/>
  <c r="AA154" i="70"/>
  <c r="Y154" i="70"/>
  <c r="X154" i="70"/>
  <c r="W154" i="70"/>
  <c r="Z154" i="70" s="1"/>
  <c r="AD154" i="70" s="1"/>
  <c r="AC153" i="70"/>
  <c r="AB153" i="70"/>
  <c r="AA153" i="70"/>
  <c r="Y153" i="70"/>
  <c r="X153" i="70"/>
  <c r="W153" i="70"/>
  <c r="AC152" i="70"/>
  <c r="AB152" i="70"/>
  <c r="AA152" i="70"/>
  <c r="Y152" i="70"/>
  <c r="X152" i="70"/>
  <c r="W152" i="70"/>
  <c r="Z152" i="70" s="1"/>
  <c r="AC151" i="70"/>
  <c r="AB151" i="70"/>
  <c r="AA151" i="70"/>
  <c r="Y151" i="70"/>
  <c r="X151" i="70"/>
  <c r="W151" i="70"/>
  <c r="Z151" i="70" s="1"/>
  <c r="AC150" i="70"/>
  <c r="AD150" i="70" s="1"/>
  <c r="AB150" i="70"/>
  <c r="AA150" i="70"/>
  <c r="Y150" i="70"/>
  <c r="X150" i="70"/>
  <c r="W150" i="70"/>
  <c r="Z150" i="70" s="1"/>
  <c r="AC149" i="70"/>
  <c r="AB149" i="70"/>
  <c r="AA149" i="70"/>
  <c r="Y149" i="70"/>
  <c r="X149" i="70"/>
  <c r="W149" i="70"/>
  <c r="AC148" i="70"/>
  <c r="AB148" i="70"/>
  <c r="AA148" i="70"/>
  <c r="Y148" i="70"/>
  <c r="X148" i="70"/>
  <c r="W148" i="70"/>
  <c r="Z148" i="70" s="1"/>
  <c r="AC147" i="70"/>
  <c r="AB147" i="70"/>
  <c r="AA147" i="70"/>
  <c r="Y147" i="70"/>
  <c r="X147" i="70"/>
  <c r="W147" i="70"/>
  <c r="Z147" i="70" s="1"/>
  <c r="AD147" i="70" s="1"/>
  <c r="AC146" i="70"/>
  <c r="AB146" i="70"/>
  <c r="AA146" i="70"/>
  <c r="Y146" i="70"/>
  <c r="X146" i="70"/>
  <c r="W146" i="70"/>
  <c r="Z146" i="70" s="1"/>
  <c r="AD146" i="70" s="1"/>
  <c r="AD145" i="70"/>
  <c r="AC145" i="70"/>
  <c r="AB145" i="70"/>
  <c r="AA145" i="70"/>
  <c r="Y145" i="70"/>
  <c r="X145" i="70"/>
  <c r="W145" i="70"/>
  <c r="Z145" i="70" s="1"/>
  <c r="AC144" i="70"/>
  <c r="AB144" i="70"/>
  <c r="AA144" i="70"/>
  <c r="Y144" i="70"/>
  <c r="X144" i="70"/>
  <c r="W144" i="70"/>
  <c r="AC143" i="70"/>
  <c r="AB143" i="70"/>
  <c r="AA143" i="70"/>
  <c r="Y143" i="70"/>
  <c r="X143" i="70"/>
  <c r="W143" i="70"/>
  <c r="Z143" i="70" s="1"/>
  <c r="AC142" i="70"/>
  <c r="AD142" i="70" s="1"/>
  <c r="AB142" i="70"/>
  <c r="AA142" i="70"/>
  <c r="Y142" i="70"/>
  <c r="X142" i="70"/>
  <c r="W142" i="70"/>
  <c r="Z142" i="70" s="1"/>
  <c r="AC141" i="70"/>
  <c r="AD141" i="70" s="1"/>
  <c r="AB141" i="70"/>
  <c r="AA141" i="70"/>
  <c r="Y141" i="70"/>
  <c r="X141" i="70"/>
  <c r="W141" i="70"/>
  <c r="Z141" i="70" s="1"/>
  <c r="AC140" i="70"/>
  <c r="AB140" i="70"/>
  <c r="AA140" i="70"/>
  <c r="Y140" i="70"/>
  <c r="X140" i="70"/>
  <c r="W140" i="70"/>
  <c r="AC139" i="70"/>
  <c r="AB139" i="70"/>
  <c r="AA139" i="70"/>
  <c r="Y139" i="70"/>
  <c r="X139" i="70"/>
  <c r="W139" i="70"/>
  <c r="Z139" i="70" s="1"/>
  <c r="AD139" i="70" s="1"/>
  <c r="AC138" i="70"/>
  <c r="AB138" i="70"/>
  <c r="AA138" i="70"/>
  <c r="Y138" i="70"/>
  <c r="X138" i="70"/>
  <c r="W138" i="70"/>
  <c r="Z138" i="70" s="1"/>
  <c r="AD138" i="70" s="1"/>
  <c r="AD137" i="70"/>
  <c r="AC137" i="70"/>
  <c r="AB137" i="70"/>
  <c r="AA137" i="70"/>
  <c r="Y137" i="70"/>
  <c r="X137" i="70"/>
  <c r="W137" i="70"/>
  <c r="Z137" i="70" s="1"/>
  <c r="AC136" i="70"/>
  <c r="AB136" i="70"/>
  <c r="AA136" i="70"/>
  <c r="Y136" i="70"/>
  <c r="X136" i="70"/>
  <c r="W136" i="70"/>
  <c r="AC135" i="70"/>
  <c r="AB135" i="70"/>
  <c r="AA135" i="70"/>
  <c r="Y135" i="70"/>
  <c r="X135" i="70"/>
  <c r="W135" i="70"/>
  <c r="Z135" i="70" s="1"/>
  <c r="AC134" i="70"/>
  <c r="AB134" i="70"/>
  <c r="AA134" i="70"/>
  <c r="Y134" i="70"/>
  <c r="X134" i="70"/>
  <c r="W134" i="70"/>
  <c r="Z134" i="70" s="1"/>
  <c r="AC133" i="70"/>
  <c r="AD133" i="70" s="1"/>
  <c r="AB133" i="70"/>
  <c r="AA133" i="70"/>
  <c r="Y133" i="70"/>
  <c r="X133" i="70"/>
  <c r="W133" i="70"/>
  <c r="Z133" i="70" s="1"/>
  <c r="AC132" i="70"/>
  <c r="AB132" i="70"/>
  <c r="AA132" i="70"/>
  <c r="Y132" i="70"/>
  <c r="X132" i="70"/>
  <c r="W132" i="70"/>
  <c r="AC131" i="70"/>
  <c r="AB131" i="70"/>
  <c r="AA131" i="70"/>
  <c r="Y131" i="70"/>
  <c r="X131" i="70"/>
  <c r="W131" i="70"/>
  <c r="Z131" i="70" s="1"/>
  <c r="AD131" i="70" s="1"/>
  <c r="AC130" i="70"/>
  <c r="AB130" i="70"/>
  <c r="AA130" i="70"/>
  <c r="Y130" i="70"/>
  <c r="X130" i="70"/>
  <c r="W130" i="70"/>
  <c r="Z130" i="70" s="1"/>
  <c r="AD130" i="70" s="1"/>
  <c r="AD129" i="70"/>
  <c r="AC129" i="70"/>
  <c r="AB129" i="70"/>
  <c r="AA129" i="70"/>
  <c r="Y129" i="70"/>
  <c r="X129" i="70"/>
  <c r="W129" i="70"/>
  <c r="Z129" i="70" s="1"/>
  <c r="AC128" i="70"/>
  <c r="AD128" i="70" s="1"/>
  <c r="AB128" i="70"/>
  <c r="AA128" i="70"/>
  <c r="Y128" i="70"/>
  <c r="X128" i="70"/>
  <c r="W128" i="70"/>
  <c r="Z128" i="70" s="1"/>
  <c r="AC127" i="70"/>
  <c r="AB127" i="70"/>
  <c r="AA127" i="70"/>
  <c r="Y127" i="70"/>
  <c r="X127" i="70"/>
  <c r="W127" i="70"/>
  <c r="AC126" i="70"/>
  <c r="AB126" i="70"/>
  <c r="AA126" i="70"/>
  <c r="Y126" i="70"/>
  <c r="X126" i="70"/>
  <c r="W126" i="70"/>
  <c r="Z126" i="70" s="1"/>
  <c r="AC125" i="70"/>
  <c r="AD125" i="70" s="1"/>
  <c r="AB125" i="70"/>
  <c r="AA125" i="70"/>
  <c r="Y125" i="70"/>
  <c r="X125" i="70"/>
  <c r="W125" i="70"/>
  <c r="Z125" i="70" s="1"/>
  <c r="AC124" i="70"/>
  <c r="AD124" i="70" s="1"/>
  <c r="AB124" i="70"/>
  <c r="AA124" i="70"/>
  <c r="Y124" i="70"/>
  <c r="X124" i="70"/>
  <c r="W124" i="70"/>
  <c r="Z124" i="70" s="1"/>
  <c r="AC123" i="70"/>
  <c r="AB123" i="70"/>
  <c r="AA123" i="70"/>
  <c r="Y123" i="70"/>
  <c r="X123" i="70"/>
  <c r="W123" i="70"/>
  <c r="AC122" i="70"/>
  <c r="AB122" i="70"/>
  <c r="AA122" i="70"/>
  <c r="Y122" i="70"/>
  <c r="X122" i="70"/>
  <c r="W122" i="70"/>
  <c r="Z122" i="70" s="1"/>
  <c r="AD122" i="70" s="1"/>
  <c r="AD121" i="70"/>
  <c r="AC121" i="70"/>
  <c r="AB121" i="70"/>
  <c r="AA121" i="70"/>
  <c r="Y121" i="70"/>
  <c r="X121" i="70"/>
  <c r="W121" i="70"/>
  <c r="Z121" i="70" s="1"/>
  <c r="AC120" i="70"/>
  <c r="AD120" i="70" s="1"/>
  <c r="AB120" i="70"/>
  <c r="AA120" i="70"/>
  <c r="Y120" i="70"/>
  <c r="X120" i="70"/>
  <c r="W120" i="70"/>
  <c r="Z120" i="70" s="1"/>
  <c r="AC119" i="70"/>
  <c r="AB119" i="70"/>
  <c r="AA119" i="70"/>
  <c r="Y119" i="70"/>
  <c r="X119" i="70"/>
  <c r="W119" i="70"/>
  <c r="AC118" i="70"/>
  <c r="AB118" i="70"/>
  <c r="AA118" i="70"/>
  <c r="Y118" i="70"/>
  <c r="X118" i="70"/>
  <c r="W118" i="70"/>
  <c r="Z118" i="70" s="1"/>
  <c r="AC117" i="70"/>
  <c r="AB117" i="70"/>
  <c r="AA117" i="70"/>
  <c r="Y117" i="70"/>
  <c r="X117" i="70"/>
  <c r="W117" i="70"/>
  <c r="Z117" i="70" s="1"/>
  <c r="AC116" i="70"/>
  <c r="AD116" i="70" s="1"/>
  <c r="AB116" i="70"/>
  <c r="AA116" i="70"/>
  <c r="Y116" i="70"/>
  <c r="X116" i="70"/>
  <c r="W116" i="70"/>
  <c r="Z116" i="70" s="1"/>
  <c r="AC115" i="70"/>
  <c r="AB115" i="70"/>
  <c r="AA115" i="70"/>
  <c r="Y115" i="70"/>
  <c r="X115" i="70"/>
  <c r="W115" i="70"/>
  <c r="AC114" i="70"/>
  <c r="AB114" i="70"/>
  <c r="AA114" i="70"/>
  <c r="Y114" i="70"/>
  <c r="X114" i="70"/>
  <c r="W114" i="70"/>
  <c r="Z114" i="70" s="1"/>
  <c r="AD114" i="70" s="1"/>
  <c r="AC113" i="70"/>
  <c r="AB113" i="70"/>
  <c r="AA113" i="70"/>
  <c r="Y113" i="70"/>
  <c r="X113" i="70"/>
  <c r="W113" i="70"/>
  <c r="Z113" i="70" s="1"/>
  <c r="AD113" i="70" s="1"/>
  <c r="AC112" i="70"/>
  <c r="AD112" i="70" s="1"/>
  <c r="AB112" i="70"/>
  <c r="AA112" i="70"/>
  <c r="Y112" i="70"/>
  <c r="X112" i="70"/>
  <c r="W112" i="70"/>
  <c r="Z112" i="70" s="1"/>
  <c r="AC111" i="70"/>
  <c r="AD111" i="70" s="1"/>
  <c r="AB111" i="70"/>
  <c r="AA111" i="70"/>
  <c r="Y111" i="70"/>
  <c r="X111" i="70"/>
  <c r="W111" i="70"/>
  <c r="Z111" i="70" s="1"/>
  <c r="AC110" i="70"/>
  <c r="AB110" i="70"/>
  <c r="AA110" i="70"/>
  <c r="Y110" i="70"/>
  <c r="X110" i="70"/>
  <c r="W110" i="70"/>
  <c r="AC109" i="70"/>
  <c r="AB109" i="70"/>
  <c r="AA109" i="70"/>
  <c r="Y109" i="70"/>
  <c r="X109" i="70"/>
  <c r="W109" i="70"/>
  <c r="Z109" i="70" s="1"/>
  <c r="AC108" i="70"/>
  <c r="AD108" i="70" s="1"/>
  <c r="AB108" i="70"/>
  <c r="AA108" i="70"/>
  <c r="Y108" i="70"/>
  <c r="X108" i="70"/>
  <c r="W108" i="70"/>
  <c r="Z108" i="70" s="1"/>
  <c r="AC107" i="70"/>
  <c r="AB107" i="70"/>
  <c r="AA107" i="70"/>
  <c r="Y107" i="70"/>
  <c r="X107" i="70"/>
  <c r="W107" i="70"/>
  <c r="Z107" i="70" s="1"/>
  <c r="AD107" i="70" s="1"/>
  <c r="AC106" i="70"/>
  <c r="AB106" i="70"/>
  <c r="AA106" i="70"/>
  <c r="Y106" i="70"/>
  <c r="X106" i="70"/>
  <c r="W106" i="70"/>
  <c r="AC105" i="70"/>
  <c r="AB105" i="70"/>
  <c r="AA105" i="70"/>
  <c r="Y105" i="70"/>
  <c r="X105" i="70"/>
  <c r="W105" i="70"/>
  <c r="Z105" i="70" s="1"/>
  <c r="AD105" i="70" s="1"/>
  <c r="AC104" i="70"/>
  <c r="AB104" i="70"/>
  <c r="AA104" i="70"/>
  <c r="Y104" i="70"/>
  <c r="X104" i="70"/>
  <c r="W104" i="70"/>
  <c r="Z104" i="70" s="1"/>
  <c r="AC103" i="70"/>
  <c r="AD103" i="70" s="1"/>
  <c r="AB103" i="70"/>
  <c r="AA103" i="70"/>
  <c r="Y103" i="70"/>
  <c r="X103" i="70"/>
  <c r="W103" i="70"/>
  <c r="Z103" i="70" s="1"/>
  <c r="AC102" i="70"/>
  <c r="AB102" i="70"/>
  <c r="AA102" i="70"/>
  <c r="Y102" i="70"/>
  <c r="X102" i="70"/>
  <c r="W102" i="70"/>
  <c r="AC101" i="70"/>
  <c r="AB101" i="70"/>
  <c r="AA101" i="70"/>
  <c r="Y101" i="70"/>
  <c r="X101" i="70"/>
  <c r="W101" i="70"/>
  <c r="Z101" i="70" s="1"/>
  <c r="AC100" i="70"/>
  <c r="AB100" i="70"/>
  <c r="AA100" i="70"/>
  <c r="Y100" i="70"/>
  <c r="X100" i="70"/>
  <c r="W100" i="70"/>
  <c r="Z100" i="70" s="1"/>
  <c r="AC99" i="70"/>
  <c r="AB99" i="70"/>
  <c r="AA99" i="70"/>
  <c r="Y99" i="70"/>
  <c r="X99" i="70"/>
  <c r="W99" i="70"/>
  <c r="Z99" i="70" s="1"/>
  <c r="AD99" i="70" s="1"/>
  <c r="AC98" i="70"/>
  <c r="AB98" i="70"/>
  <c r="AA98" i="70"/>
  <c r="Y98" i="70"/>
  <c r="X98" i="70"/>
  <c r="W98" i="70"/>
  <c r="AD97" i="70"/>
  <c r="AC97" i="70"/>
  <c r="AB97" i="70"/>
  <c r="AA97" i="70"/>
  <c r="AC96" i="70"/>
  <c r="AB96" i="70"/>
  <c r="AA96" i="70"/>
  <c r="Y96" i="70"/>
  <c r="X96" i="70"/>
  <c r="W96" i="70"/>
  <c r="AC95" i="70"/>
  <c r="AB95" i="70"/>
  <c r="AA95" i="70"/>
  <c r="Y95" i="70"/>
  <c r="X95" i="70"/>
  <c r="W95" i="70"/>
  <c r="Y94" i="70"/>
  <c r="X94" i="70"/>
  <c r="W94" i="70"/>
  <c r="Z94" i="70" s="1"/>
  <c r="A92" i="70"/>
  <c r="AC91" i="70"/>
  <c r="AB91" i="70"/>
  <c r="AA91" i="70"/>
  <c r="Y91" i="70"/>
  <c r="X91" i="70"/>
  <c r="W91" i="70"/>
  <c r="Z91" i="70" s="1"/>
  <c r="B91" i="70"/>
  <c r="A91" i="70"/>
  <c r="AC90" i="70"/>
  <c r="AB90" i="70"/>
  <c r="AA90" i="70"/>
  <c r="Z90" i="70"/>
  <c r="B90" i="70"/>
  <c r="A90" i="70"/>
  <c r="AC89" i="70"/>
  <c r="AB89" i="70"/>
  <c r="AA89" i="70"/>
  <c r="Z89" i="70"/>
  <c r="B89" i="70"/>
  <c r="A89" i="70"/>
  <c r="AC88" i="70"/>
  <c r="AB88" i="70"/>
  <c r="AA88" i="70"/>
  <c r="Z88" i="70"/>
  <c r="B88" i="70"/>
  <c r="A88" i="70"/>
  <c r="AC87" i="70"/>
  <c r="AB87" i="70"/>
  <c r="AA87" i="70"/>
  <c r="Z87" i="70"/>
  <c r="B87" i="70"/>
  <c r="A87" i="70"/>
  <c r="AC86" i="70"/>
  <c r="AB86" i="70"/>
  <c r="AA86" i="70"/>
  <c r="Z86" i="70"/>
  <c r="B86" i="70"/>
  <c r="A86" i="70"/>
  <c r="AC85" i="70"/>
  <c r="AB85" i="70"/>
  <c r="AA85" i="70"/>
  <c r="Z85" i="70"/>
  <c r="B85" i="70"/>
  <c r="A85" i="70"/>
  <c r="AC84" i="70"/>
  <c r="AB84" i="70"/>
  <c r="AA84" i="70"/>
  <c r="Z84" i="70"/>
  <c r="B84" i="70"/>
  <c r="A84" i="70"/>
  <c r="AC83" i="70"/>
  <c r="AB83" i="70"/>
  <c r="AA83" i="70"/>
  <c r="Z83" i="70"/>
  <c r="B83" i="70"/>
  <c r="A83" i="70"/>
  <c r="AC82" i="70"/>
  <c r="AB82" i="70"/>
  <c r="AA82" i="70"/>
  <c r="Z82" i="70"/>
  <c r="B82" i="70"/>
  <c r="A82" i="70"/>
  <c r="AC81" i="70"/>
  <c r="AB81" i="70"/>
  <c r="AA81" i="70"/>
  <c r="Z81" i="70"/>
  <c r="B81" i="70"/>
  <c r="A81" i="70"/>
  <c r="AC80" i="70"/>
  <c r="AB80" i="70"/>
  <c r="AA80" i="70"/>
  <c r="Z80" i="70"/>
  <c r="B80" i="70"/>
  <c r="A80" i="70"/>
  <c r="AC79" i="70"/>
  <c r="AB79" i="70"/>
  <c r="AA79" i="70"/>
  <c r="Z79" i="70"/>
  <c r="B79" i="70"/>
  <c r="A79" i="70"/>
  <c r="AC78" i="70"/>
  <c r="AB78" i="70"/>
  <c r="AA78" i="70"/>
  <c r="Z78" i="70"/>
  <c r="B78" i="70"/>
  <c r="A78" i="70"/>
  <c r="AC77" i="70"/>
  <c r="AB77" i="70"/>
  <c r="AA77" i="70"/>
  <c r="Z77" i="70"/>
  <c r="B77" i="70"/>
  <c r="A77" i="70"/>
  <c r="AC76" i="70"/>
  <c r="AB76" i="70"/>
  <c r="AA76" i="70"/>
  <c r="Z76" i="70"/>
  <c r="B76" i="70"/>
  <c r="A76" i="70"/>
  <c r="AC75" i="70"/>
  <c r="AB75" i="70"/>
  <c r="AA75" i="70"/>
  <c r="Z75" i="70"/>
  <c r="B75" i="70"/>
  <c r="A75" i="70"/>
  <c r="AC74" i="70"/>
  <c r="AB74" i="70"/>
  <c r="AA74" i="70"/>
  <c r="Z74" i="70"/>
  <c r="B74" i="70"/>
  <c r="A74" i="70"/>
  <c r="AC73" i="70"/>
  <c r="AB73" i="70"/>
  <c r="AA73" i="70"/>
  <c r="Z73" i="70"/>
  <c r="B73" i="70"/>
  <c r="A73" i="70"/>
  <c r="A72" i="70"/>
  <c r="AC71" i="70"/>
  <c r="AB71" i="70"/>
  <c r="AA71" i="70"/>
  <c r="Y71" i="70"/>
  <c r="X71" i="70"/>
  <c r="W71" i="70"/>
  <c r="Z71" i="70" s="1"/>
  <c r="B71" i="70"/>
  <c r="A71" i="70"/>
  <c r="AC70" i="70"/>
  <c r="AB70" i="70"/>
  <c r="AA70" i="70"/>
  <c r="Z70" i="70"/>
  <c r="B70" i="70"/>
  <c r="A70" i="70"/>
  <c r="AC69" i="70"/>
  <c r="AB69" i="70"/>
  <c r="AA69" i="70"/>
  <c r="Z69" i="70"/>
  <c r="B69" i="70"/>
  <c r="A69" i="70"/>
  <c r="AC68" i="70"/>
  <c r="AB68" i="70"/>
  <c r="AA68" i="70"/>
  <c r="Z68" i="70"/>
  <c r="B68" i="70"/>
  <c r="A68" i="70"/>
  <c r="AC67" i="70"/>
  <c r="AB67" i="70"/>
  <c r="AA67" i="70"/>
  <c r="Z67" i="70"/>
  <c r="B67" i="70"/>
  <c r="A67" i="70"/>
  <c r="AC66" i="70"/>
  <c r="AB66" i="70"/>
  <c r="AA66" i="70"/>
  <c r="Z66" i="70"/>
  <c r="B66" i="70"/>
  <c r="A66" i="70"/>
  <c r="AC65" i="70"/>
  <c r="AB65" i="70"/>
  <c r="AA65" i="70"/>
  <c r="Z65" i="70"/>
  <c r="B65" i="70"/>
  <c r="A65" i="70"/>
  <c r="AC64" i="70"/>
  <c r="AB64" i="70"/>
  <c r="AA64" i="70"/>
  <c r="Z64" i="70"/>
  <c r="B64" i="70"/>
  <c r="A64" i="70"/>
  <c r="AC63" i="70"/>
  <c r="AB63" i="70"/>
  <c r="AA63" i="70"/>
  <c r="Z63" i="70"/>
  <c r="B63" i="70"/>
  <c r="A63" i="70"/>
  <c r="AC62" i="70"/>
  <c r="AB62" i="70"/>
  <c r="AA62" i="70"/>
  <c r="Z62" i="70"/>
  <c r="B62" i="70"/>
  <c r="A62" i="70"/>
  <c r="AC61" i="70"/>
  <c r="AB61" i="70"/>
  <c r="AA61" i="70"/>
  <c r="Z61" i="70"/>
  <c r="B61" i="70"/>
  <c r="A61" i="70"/>
  <c r="AC60" i="70"/>
  <c r="AB60" i="70"/>
  <c r="AA60" i="70"/>
  <c r="Z60" i="70"/>
  <c r="B60" i="70"/>
  <c r="A60" i="70"/>
  <c r="AC59" i="70"/>
  <c r="AB59" i="70"/>
  <c r="AA59" i="70"/>
  <c r="Z59" i="70"/>
  <c r="B59" i="70"/>
  <c r="A59" i="70"/>
  <c r="AC58" i="70"/>
  <c r="AB58" i="70"/>
  <c r="AA58" i="70"/>
  <c r="Z58" i="70"/>
  <c r="B58" i="70"/>
  <c r="A58" i="70"/>
  <c r="A57" i="70"/>
  <c r="AC56" i="70"/>
  <c r="AB56" i="70"/>
  <c r="AA56" i="70"/>
  <c r="Y56" i="70"/>
  <c r="X56" i="70"/>
  <c r="W56" i="70"/>
  <c r="Z56" i="70" s="1"/>
  <c r="B56" i="70"/>
  <c r="A56" i="70"/>
  <c r="AC55" i="70"/>
  <c r="AB55" i="70"/>
  <c r="AA55" i="70"/>
  <c r="Z55" i="70"/>
  <c r="B55" i="70"/>
  <c r="A55" i="70"/>
  <c r="AC54" i="70"/>
  <c r="AB54" i="70"/>
  <c r="AA54" i="70"/>
  <c r="Z54" i="70"/>
  <c r="B54" i="70"/>
  <c r="A54" i="70"/>
  <c r="AC53" i="70"/>
  <c r="AB53" i="70"/>
  <c r="AA53" i="70"/>
  <c r="Z53" i="70"/>
  <c r="B53" i="70"/>
  <c r="A53" i="70"/>
  <c r="AC52" i="70"/>
  <c r="AB52" i="70"/>
  <c r="AA52" i="70"/>
  <c r="Z52" i="70"/>
  <c r="B52" i="70"/>
  <c r="A52" i="70"/>
  <c r="AC51" i="70"/>
  <c r="AB51" i="70"/>
  <c r="AA51" i="70"/>
  <c r="Z51" i="70"/>
  <c r="B51" i="70"/>
  <c r="A51" i="70"/>
  <c r="AC50" i="70"/>
  <c r="AB50" i="70"/>
  <c r="AA50" i="70"/>
  <c r="Z50" i="70"/>
  <c r="B50" i="70"/>
  <c r="A50" i="70"/>
  <c r="AC49" i="70"/>
  <c r="AB49" i="70"/>
  <c r="AA49" i="70"/>
  <c r="Z49" i="70"/>
  <c r="B49" i="70"/>
  <c r="A49" i="70"/>
  <c r="AC48" i="70"/>
  <c r="AB48" i="70"/>
  <c r="AA48" i="70"/>
  <c r="Z48" i="70"/>
  <c r="B48" i="70"/>
  <c r="A48" i="70"/>
  <c r="AC47" i="70"/>
  <c r="AB47" i="70"/>
  <c r="AA47" i="70"/>
  <c r="Z47" i="70"/>
  <c r="B47" i="70"/>
  <c r="A47" i="70"/>
  <c r="AC46" i="70"/>
  <c r="AB46" i="70"/>
  <c r="AA46" i="70"/>
  <c r="Z46" i="70"/>
  <c r="B46" i="70"/>
  <c r="A46" i="70"/>
  <c r="AC45" i="70"/>
  <c r="AB45" i="70"/>
  <c r="AA45" i="70"/>
  <c r="Z45" i="70"/>
  <c r="B45" i="70"/>
  <c r="A45" i="70"/>
  <c r="AC44" i="70"/>
  <c r="AB44" i="70"/>
  <c r="AA44" i="70"/>
  <c r="Z44" i="70"/>
  <c r="B44" i="70"/>
  <c r="A44" i="70"/>
  <c r="AC43" i="70"/>
  <c r="AB43" i="70"/>
  <c r="AA43" i="70"/>
  <c r="Z43" i="70"/>
  <c r="B43" i="70"/>
  <c r="A43" i="70"/>
  <c r="AC42" i="70"/>
  <c r="AB42" i="70"/>
  <c r="AA42" i="70"/>
  <c r="Z42" i="70"/>
  <c r="B42" i="70"/>
  <c r="A42" i="70"/>
  <c r="AC41" i="70"/>
  <c r="AB41" i="70"/>
  <c r="AA41" i="70"/>
  <c r="Z41" i="70"/>
  <c r="B41" i="70"/>
  <c r="A41" i="70"/>
  <c r="AC40" i="70"/>
  <c r="AB40" i="70"/>
  <c r="AA40" i="70"/>
  <c r="Z40" i="70"/>
  <c r="B40" i="70"/>
  <c r="A40" i="70"/>
  <c r="AC39" i="70"/>
  <c r="AB39" i="70"/>
  <c r="AA39" i="70"/>
  <c r="Z39" i="70"/>
  <c r="B39" i="70"/>
  <c r="A39" i="70"/>
  <c r="AC38" i="70"/>
  <c r="AB38" i="70"/>
  <c r="AA38" i="70"/>
  <c r="Z38" i="70"/>
  <c r="B38" i="70"/>
  <c r="A38" i="70"/>
  <c r="AC37" i="70"/>
  <c r="AB37" i="70"/>
  <c r="AA37" i="70"/>
  <c r="Z37" i="70"/>
  <c r="B37" i="70"/>
  <c r="A37" i="70"/>
  <c r="AC36" i="70"/>
  <c r="AB36" i="70"/>
  <c r="AA36" i="70"/>
  <c r="Z36" i="70"/>
  <c r="B36" i="70"/>
  <c r="A36" i="70"/>
  <c r="AC35" i="70"/>
  <c r="AB35" i="70"/>
  <c r="AA35" i="70"/>
  <c r="Z35" i="70"/>
  <c r="B35" i="70"/>
  <c r="A35" i="70"/>
  <c r="AC34" i="70"/>
  <c r="AB34" i="70"/>
  <c r="AA34" i="70"/>
  <c r="Z34" i="70"/>
  <c r="B34" i="70"/>
  <c r="A34" i="70"/>
  <c r="AC33" i="70"/>
  <c r="AB33" i="70"/>
  <c r="AA33" i="70"/>
  <c r="Z33" i="70"/>
  <c r="B33" i="70"/>
  <c r="A33" i="70"/>
  <c r="AC32" i="70"/>
  <c r="AB32" i="70"/>
  <c r="AA32" i="70"/>
  <c r="Z32" i="70"/>
  <c r="B32" i="70"/>
  <c r="A32" i="70"/>
  <c r="AC31" i="70"/>
  <c r="AB31" i="70"/>
  <c r="AA31" i="70"/>
  <c r="Z31" i="70"/>
  <c r="B31" i="70"/>
  <c r="A31" i="70"/>
  <c r="AC30" i="70"/>
  <c r="AB30" i="70"/>
  <c r="AA30" i="70"/>
  <c r="Z30" i="70"/>
  <c r="B30" i="70"/>
  <c r="A30" i="70"/>
  <c r="AC29" i="70"/>
  <c r="AB29" i="70"/>
  <c r="AA29" i="70"/>
  <c r="Z29" i="70"/>
  <c r="B29" i="70"/>
  <c r="A29" i="70"/>
  <c r="AC28" i="70"/>
  <c r="AB28" i="70"/>
  <c r="AA28" i="70"/>
  <c r="Z28" i="70"/>
  <c r="B28" i="70"/>
  <c r="A28" i="70"/>
  <c r="AC27" i="70"/>
  <c r="AB27" i="70"/>
  <c r="AA27" i="70"/>
  <c r="Z27" i="70"/>
  <c r="B27" i="70"/>
  <c r="A27" i="70"/>
  <c r="AC26" i="70"/>
  <c r="AB26" i="70"/>
  <c r="AA26" i="70"/>
  <c r="Z26" i="70"/>
  <c r="B26" i="70"/>
  <c r="A26" i="70"/>
  <c r="AC25" i="70"/>
  <c r="AB25" i="70"/>
  <c r="AA25" i="70"/>
  <c r="Z25" i="70"/>
  <c r="B25" i="70"/>
  <c r="A25" i="70"/>
  <c r="AC24" i="70"/>
  <c r="AB24" i="70"/>
  <c r="AA24" i="70"/>
  <c r="Z24" i="70"/>
  <c r="B24" i="70"/>
  <c r="A24" i="70"/>
  <c r="AC23" i="70"/>
  <c r="AB23" i="70"/>
  <c r="AA23" i="70"/>
  <c r="Z23" i="70"/>
  <c r="B23" i="70"/>
  <c r="A23" i="70"/>
  <c r="AC22" i="70"/>
  <c r="AB22" i="70"/>
  <c r="AA22" i="70"/>
  <c r="Z22" i="70"/>
  <c r="B22" i="70"/>
  <c r="A22" i="70"/>
  <c r="AC21" i="70"/>
  <c r="AB21" i="70"/>
  <c r="AA21" i="70"/>
  <c r="Z21" i="70"/>
  <c r="B21" i="70"/>
  <c r="A21" i="70"/>
  <c r="AC20" i="70"/>
  <c r="AB20" i="70"/>
  <c r="AA20" i="70"/>
  <c r="Z20" i="70"/>
  <c r="B20" i="70"/>
  <c r="A20" i="70"/>
  <c r="AC19" i="70"/>
  <c r="AB19" i="70"/>
  <c r="AA19" i="70"/>
  <c r="Z19" i="70"/>
  <c r="B19" i="70"/>
  <c r="A19" i="70"/>
  <c r="AC18" i="70"/>
  <c r="AB18" i="70"/>
  <c r="AA18" i="70"/>
  <c r="Z18" i="70"/>
  <c r="B18" i="70"/>
  <c r="A18" i="70"/>
  <c r="AC17" i="70"/>
  <c r="AB17" i="70"/>
  <c r="AA17" i="70"/>
  <c r="Z17" i="70"/>
  <c r="B17" i="70"/>
  <c r="A17" i="70"/>
  <c r="AC16" i="70"/>
  <c r="AB16" i="70"/>
  <c r="AA16" i="70"/>
  <c r="Z16" i="70"/>
  <c r="B16" i="70"/>
  <c r="A16" i="70"/>
  <c r="AC15" i="70"/>
  <c r="AB15" i="70"/>
  <c r="AA15" i="70"/>
  <c r="Z15" i="70"/>
  <c r="B15" i="70"/>
  <c r="A15" i="70"/>
  <c r="AC14" i="70"/>
  <c r="AB14" i="70"/>
  <c r="AA14" i="70"/>
  <c r="Z14" i="70"/>
  <c r="B14" i="70"/>
  <c r="A14" i="70"/>
  <c r="AC13" i="70"/>
  <c r="AB13" i="70"/>
  <c r="AA13" i="70"/>
  <c r="Z13" i="70"/>
  <c r="B13" i="70"/>
  <c r="A13" i="70"/>
  <c r="AC12" i="70"/>
  <c r="AB12" i="70"/>
  <c r="AA12" i="70"/>
  <c r="Z12" i="70"/>
  <c r="B12" i="70"/>
  <c r="A12" i="70"/>
  <c r="AC11" i="70"/>
  <c r="AB11" i="70"/>
  <c r="AA11" i="70"/>
  <c r="Z11" i="70"/>
  <c r="B11" i="70"/>
  <c r="A11" i="70"/>
  <c r="AC10" i="70"/>
  <c r="AB10" i="70"/>
  <c r="AA10" i="70"/>
  <c r="Z10" i="70"/>
  <c r="B10" i="70"/>
  <c r="A10" i="70"/>
  <c r="AC9" i="70"/>
  <c r="AB9" i="70"/>
  <c r="AA9" i="70"/>
  <c r="Z9" i="70"/>
  <c r="B9" i="70"/>
  <c r="A9" i="70"/>
  <c r="AC8" i="70"/>
  <c r="AB8" i="70"/>
  <c r="AA8" i="70"/>
  <c r="Z8" i="70"/>
  <c r="B8" i="70"/>
  <c r="A8" i="70"/>
  <c r="AC7" i="70"/>
  <c r="AB7" i="70"/>
  <c r="AA7" i="70"/>
  <c r="Z7" i="70"/>
  <c r="B7" i="70"/>
  <c r="A7" i="70"/>
  <c r="X5" i="70"/>
  <c r="W5" i="70"/>
  <c r="AD4" i="70"/>
  <c r="S177" i="69"/>
  <c r="N177" i="69"/>
  <c r="F177" i="69"/>
  <c r="D177" i="69"/>
  <c r="C177" i="69"/>
  <c r="AC176" i="69"/>
  <c r="AD176" i="69" s="1"/>
  <c r="AB176" i="69"/>
  <c r="AA176" i="69"/>
  <c r="Y176" i="69"/>
  <c r="X176" i="69"/>
  <c r="W176" i="69"/>
  <c r="AC175" i="69"/>
  <c r="AD175" i="69" s="1"/>
  <c r="AB175" i="69"/>
  <c r="AA175" i="69"/>
  <c r="Y175" i="69"/>
  <c r="X175" i="69"/>
  <c r="W175" i="69"/>
  <c r="AD174" i="69"/>
  <c r="AC174" i="69"/>
  <c r="AB174" i="69"/>
  <c r="AA174" i="69"/>
  <c r="Y174" i="69"/>
  <c r="X174" i="69"/>
  <c r="W174" i="69"/>
  <c r="AC173" i="69"/>
  <c r="AD173" i="69" s="1"/>
  <c r="AB173" i="69"/>
  <c r="AA173" i="69"/>
  <c r="Y173" i="69"/>
  <c r="X173" i="69"/>
  <c r="W173" i="69"/>
  <c r="AC172" i="69"/>
  <c r="AD172" i="69" s="1"/>
  <c r="AB172" i="69"/>
  <c r="AA172" i="69"/>
  <c r="Y172" i="69"/>
  <c r="X172" i="69"/>
  <c r="W172" i="69"/>
  <c r="AC171" i="69"/>
  <c r="AB171" i="69"/>
  <c r="AA171" i="69"/>
  <c r="Y171" i="69"/>
  <c r="X171" i="69"/>
  <c r="W171" i="69"/>
  <c r="AC170" i="69"/>
  <c r="AB170" i="69"/>
  <c r="AA170" i="69"/>
  <c r="Y170" i="69"/>
  <c r="X170" i="69"/>
  <c r="W170" i="69"/>
  <c r="AC169" i="69"/>
  <c r="AD169" i="69" s="1"/>
  <c r="AB169" i="69"/>
  <c r="AA169" i="69"/>
  <c r="Y169" i="69"/>
  <c r="X169" i="69"/>
  <c r="W169" i="69"/>
  <c r="AC168" i="69"/>
  <c r="AD168" i="69" s="1"/>
  <c r="AB168" i="69"/>
  <c r="AA168" i="69"/>
  <c r="Y168" i="69"/>
  <c r="X168" i="69"/>
  <c r="W168" i="69"/>
  <c r="AC167" i="69"/>
  <c r="AD167" i="69" s="1"/>
  <c r="AB167" i="69"/>
  <c r="AA167" i="69"/>
  <c r="Y167" i="69"/>
  <c r="X167" i="69"/>
  <c r="W167" i="69"/>
  <c r="AD166" i="69"/>
  <c r="AC166" i="69"/>
  <c r="AB166" i="69"/>
  <c r="AA166" i="69"/>
  <c r="Y166" i="69"/>
  <c r="X166" i="69"/>
  <c r="W166" i="69"/>
  <c r="AD165" i="69"/>
  <c r="AC165" i="69"/>
  <c r="AB165" i="69"/>
  <c r="AA165" i="69"/>
  <c r="Y165" i="69"/>
  <c r="X165" i="69"/>
  <c r="W165" i="69"/>
  <c r="AC164" i="69"/>
  <c r="AD164" i="69" s="1"/>
  <c r="AB164" i="69"/>
  <c r="AA164" i="69"/>
  <c r="Y164" i="69"/>
  <c r="X164" i="69"/>
  <c r="W164" i="69"/>
  <c r="AC163" i="69"/>
  <c r="AB163" i="69"/>
  <c r="AA163" i="69"/>
  <c r="Y163" i="69"/>
  <c r="X163" i="69"/>
  <c r="W163" i="69"/>
  <c r="AC162" i="69"/>
  <c r="AD162" i="69" s="1"/>
  <c r="AB162" i="69"/>
  <c r="AA162" i="69"/>
  <c r="Y162" i="69"/>
  <c r="X162" i="69"/>
  <c r="W162" i="69"/>
  <c r="AC161" i="69"/>
  <c r="AD161" i="69" s="1"/>
  <c r="AB161" i="69"/>
  <c r="AA161" i="69"/>
  <c r="Y161" i="69"/>
  <c r="X161" i="69"/>
  <c r="W161" i="69"/>
  <c r="AC160" i="69"/>
  <c r="AD160" i="69" s="1"/>
  <c r="AB160" i="69"/>
  <c r="AA160" i="69"/>
  <c r="Y160" i="69"/>
  <c r="X160" i="69"/>
  <c r="W160" i="69"/>
  <c r="AC159" i="69"/>
  <c r="AD159" i="69" s="1"/>
  <c r="AB159" i="69"/>
  <c r="AA159" i="69"/>
  <c r="Y159" i="69"/>
  <c r="X159" i="69"/>
  <c r="W159" i="69"/>
  <c r="AD158" i="69"/>
  <c r="AC158" i="69"/>
  <c r="AB158" i="69"/>
  <c r="AA158" i="69"/>
  <c r="Y158" i="69"/>
  <c r="X158" i="69"/>
  <c r="W158" i="69"/>
  <c r="AC157" i="69"/>
  <c r="AD157" i="69" s="1"/>
  <c r="AB157" i="69"/>
  <c r="AA157" i="69"/>
  <c r="Y157" i="69"/>
  <c r="X157" i="69"/>
  <c r="W157" i="69"/>
  <c r="AC156" i="69"/>
  <c r="AB156" i="69"/>
  <c r="AA156" i="69"/>
  <c r="Y156" i="69"/>
  <c r="X156" i="69"/>
  <c r="W156" i="69"/>
  <c r="AC155" i="69"/>
  <c r="AB155" i="69"/>
  <c r="AA155" i="69"/>
  <c r="Y155" i="69"/>
  <c r="X155" i="69"/>
  <c r="W155" i="69"/>
  <c r="Z155" i="69" s="1"/>
  <c r="AD155" i="69" s="1"/>
  <c r="AC154" i="69"/>
  <c r="AB154" i="69"/>
  <c r="AA154" i="69"/>
  <c r="Y154" i="69"/>
  <c r="X154" i="69"/>
  <c r="W154" i="69"/>
  <c r="Z154" i="69" s="1"/>
  <c r="AD154" i="69" s="1"/>
  <c r="AD153" i="69"/>
  <c r="AC153" i="69"/>
  <c r="AB153" i="69"/>
  <c r="AA153" i="69"/>
  <c r="Y153" i="69"/>
  <c r="X153" i="69"/>
  <c r="W153" i="69"/>
  <c r="Z153" i="69" s="1"/>
  <c r="AC152" i="69"/>
  <c r="AD152" i="69" s="1"/>
  <c r="AB152" i="69"/>
  <c r="AA152" i="69"/>
  <c r="Y152" i="69"/>
  <c r="X152" i="69"/>
  <c r="W152" i="69"/>
  <c r="Z152" i="69" s="1"/>
  <c r="AC151" i="69"/>
  <c r="AB151" i="69"/>
  <c r="AA151" i="69"/>
  <c r="Y151" i="69"/>
  <c r="X151" i="69"/>
  <c r="W151" i="69"/>
  <c r="AC150" i="69"/>
  <c r="AB150" i="69"/>
  <c r="AA150" i="69"/>
  <c r="Y150" i="69"/>
  <c r="X150" i="69"/>
  <c r="W150" i="69"/>
  <c r="Z150" i="69" s="1"/>
  <c r="AC149" i="69"/>
  <c r="AD149" i="69" s="1"/>
  <c r="AB149" i="69"/>
  <c r="AA149" i="69"/>
  <c r="Y149" i="69"/>
  <c r="X149" i="69"/>
  <c r="W149" i="69"/>
  <c r="Z149" i="69" s="1"/>
  <c r="AC148" i="69"/>
  <c r="AD148" i="69" s="1"/>
  <c r="AB148" i="69"/>
  <c r="AA148" i="69"/>
  <c r="Y148" i="69"/>
  <c r="X148" i="69"/>
  <c r="W148" i="69"/>
  <c r="Z148" i="69" s="1"/>
  <c r="AC147" i="69"/>
  <c r="AB147" i="69"/>
  <c r="AA147" i="69"/>
  <c r="Y147" i="69"/>
  <c r="X147" i="69"/>
  <c r="W147" i="69"/>
  <c r="AC146" i="69"/>
  <c r="AB146" i="69"/>
  <c r="AA146" i="69"/>
  <c r="Y146" i="69"/>
  <c r="X146" i="69"/>
  <c r="W146" i="69"/>
  <c r="Z146" i="69" s="1"/>
  <c r="AD146" i="69" s="1"/>
  <c r="AD145" i="69"/>
  <c r="AC145" i="69"/>
  <c r="AB145" i="69"/>
  <c r="AA145" i="69"/>
  <c r="Y145" i="69"/>
  <c r="X145" i="69"/>
  <c r="W145" i="69"/>
  <c r="Z145" i="69" s="1"/>
  <c r="AC144" i="69"/>
  <c r="AD144" i="69" s="1"/>
  <c r="AB144" i="69"/>
  <c r="AA144" i="69"/>
  <c r="Y144" i="69"/>
  <c r="X144" i="69"/>
  <c r="W144" i="69"/>
  <c r="Z144" i="69" s="1"/>
  <c r="AC143" i="69"/>
  <c r="AB143" i="69"/>
  <c r="AA143" i="69"/>
  <c r="Y143" i="69"/>
  <c r="X143" i="69"/>
  <c r="W143" i="69"/>
  <c r="AC142" i="69"/>
  <c r="AB142" i="69"/>
  <c r="AA142" i="69"/>
  <c r="Y142" i="69"/>
  <c r="X142" i="69"/>
  <c r="W142" i="69"/>
  <c r="Z142" i="69" s="1"/>
  <c r="AC141" i="69"/>
  <c r="AB141" i="69"/>
  <c r="AA141" i="69"/>
  <c r="Y141" i="69"/>
  <c r="X141" i="69"/>
  <c r="W141" i="69"/>
  <c r="Z141" i="69" s="1"/>
  <c r="AC140" i="69"/>
  <c r="AD140" i="69" s="1"/>
  <c r="AB140" i="69"/>
  <c r="AA140" i="69"/>
  <c r="Y140" i="69"/>
  <c r="X140" i="69"/>
  <c r="W140" i="69"/>
  <c r="Z140" i="69" s="1"/>
  <c r="AC139" i="69"/>
  <c r="AB139" i="69"/>
  <c r="AA139" i="69"/>
  <c r="Y139" i="69"/>
  <c r="X139" i="69"/>
  <c r="W139" i="69"/>
  <c r="AC138" i="69"/>
  <c r="AB138" i="69"/>
  <c r="AA138" i="69"/>
  <c r="Y138" i="69"/>
  <c r="X138" i="69"/>
  <c r="W138" i="69"/>
  <c r="Z138" i="69" s="1"/>
  <c r="AD138" i="69" s="1"/>
  <c r="AC137" i="69"/>
  <c r="AB137" i="69"/>
  <c r="AA137" i="69"/>
  <c r="Y137" i="69"/>
  <c r="X137" i="69"/>
  <c r="W137" i="69"/>
  <c r="Z137" i="69" s="1"/>
  <c r="AD137" i="69" s="1"/>
  <c r="AC136" i="69"/>
  <c r="AD136" i="69" s="1"/>
  <c r="AB136" i="69"/>
  <c r="AA136" i="69"/>
  <c r="Y136" i="69"/>
  <c r="X136" i="69"/>
  <c r="W136" i="69"/>
  <c r="Z136" i="69" s="1"/>
  <c r="AC135" i="69"/>
  <c r="AD135" i="69" s="1"/>
  <c r="AB135" i="69"/>
  <c r="AA135" i="69"/>
  <c r="Y135" i="69"/>
  <c r="X135" i="69"/>
  <c r="W135" i="69"/>
  <c r="Z135" i="69" s="1"/>
  <c r="AC134" i="69"/>
  <c r="AB134" i="69"/>
  <c r="AA134" i="69"/>
  <c r="Y134" i="69"/>
  <c r="X134" i="69"/>
  <c r="W134" i="69"/>
  <c r="AC133" i="69"/>
  <c r="AB133" i="69"/>
  <c r="AA133" i="69"/>
  <c r="Y133" i="69"/>
  <c r="X133" i="69"/>
  <c r="W133" i="69"/>
  <c r="Z133" i="69" s="1"/>
  <c r="AC132" i="69"/>
  <c r="AD132" i="69" s="1"/>
  <c r="AB132" i="69"/>
  <c r="AA132" i="69"/>
  <c r="Y132" i="69"/>
  <c r="X132" i="69"/>
  <c r="W132" i="69"/>
  <c r="Z132" i="69" s="1"/>
  <c r="AC131" i="69"/>
  <c r="AB131" i="69"/>
  <c r="AA131" i="69"/>
  <c r="Y131" i="69"/>
  <c r="X131" i="69"/>
  <c r="W131" i="69"/>
  <c r="Z131" i="69" s="1"/>
  <c r="AD131" i="69" s="1"/>
  <c r="AC130" i="69"/>
  <c r="AB130" i="69"/>
  <c r="AA130" i="69"/>
  <c r="Y130" i="69"/>
  <c r="X130" i="69"/>
  <c r="W130" i="69"/>
  <c r="AC129" i="69"/>
  <c r="AB129" i="69"/>
  <c r="AA129" i="69"/>
  <c r="Y129" i="69"/>
  <c r="X129" i="69"/>
  <c r="W129" i="69"/>
  <c r="Z129" i="69" s="1"/>
  <c r="AD129" i="69" s="1"/>
  <c r="AC128" i="69"/>
  <c r="AB128" i="69"/>
  <c r="AA128" i="69"/>
  <c r="Y128" i="69"/>
  <c r="X128" i="69"/>
  <c r="W128" i="69"/>
  <c r="Z128" i="69" s="1"/>
  <c r="AC127" i="69"/>
  <c r="AD127" i="69" s="1"/>
  <c r="AB127" i="69"/>
  <c r="AA127" i="69"/>
  <c r="Y127" i="69"/>
  <c r="X127" i="69"/>
  <c r="W127" i="69"/>
  <c r="Z127" i="69" s="1"/>
  <c r="AC126" i="69"/>
  <c r="AB126" i="69"/>
  <c r="AA126" i="69"/>
  <c r="Y126" i="69"/>
  <c r="X126" i="69"/>
  <c r="W126" i="69"/>
  <c r="AC125" i="69"/>
  <c r="AB125" i="69"/>
  <c r="AA125" i="69"/>
  <c r="Y125" i="69"/>
  <c r="X125" i="69"/>
  <c r="W125" i="69"/>
  <c r="Z125" i="69" s="1"/>
  <c r="AC124" i="69"/>
  <c r="AB124" i="69"/>
  <c r="AA124" i="69"/>
  <c r="Y124" i="69"/>
  <c r="X124" i="69"/>
  <c r="W124" i="69"/>
  <c r="Z124" i="69" s="1"/>
  <c r="AC123" i="69"/>
  <c r="AB123" i="69"/>
  <c r="AA123" i="69"/>
  <c r="Y123" i="69"/>
  <c r="X123" i="69"/>
  <c r="W123" i="69"/>
  <c r="Z123" i="69" s="1"/>
  <c r="AD123" i="69" s="1"/>
  <c r="AC122" i="69"/>
  <c r="AB122" i="69"/>
  <c r="AA122" i="69"/>
  <c r="Y122" i="69"/>
  <c r="X122" i="69"/>
  <c r="W122" i="69"/>
  <c r="AC121" i="69"/>
  <c r="AB121" i="69"/>
  <c r="AA121" i="69"/>
  <c r="Y121" i="69"/>
  <c r="X121" i="69"/>
  <c r="W121" i="69"/>
  <c r="AC120" i="69"/>
  <c r="AB120" i="69"/>
  <c r="AA120" i="69"/>
  <c r="Y120" i="69"/>
  <c r="X120" i="69"/>
  <c r="W120" i="69"/>
  <c r="Z120" i="69" s="1"/>
  <c r="AC119" i="69"/>
  <c r="AD119" i="69" s="1"/>
  <c r="AB119" i="69"/>
  <c r="AA119" i="69"/>
  <c r="Y119" i="69"/>
  <c r="X119" i="69"/>
  <c r="W119" i="69"/>
  <c r="Z119" i="69" s="1"/>
  <c r="AC118" i="69"/>
  <c r="AD118" i="69" s="1"/>
  <c r="AB118" i="69"/>
  <c r="AA118" i="69"/>
  <c r="Y118" i="69"/>
  <c r="X118" i="69"/>
  <c r="W118" i="69"/>
  <c r="Z118" i="69" s="1"/>
  <c r="AC117" i="69"/>
  <c r="AB117" i="69"/>
  <c r="AA117" i="69"/>
  <c r="Y117" i="69"/>
  <c r="X117" i="69"/>
  <c r="W117" i="69"/>
  <c r="AC116" i="69"/>
  <c r="AB116" i="69"/>
  <c r="AA116" i="69"/>
  <c r="Y116" i="69"/>
  <c r="X116" i="69"/>
  <c r="W116" i="69"/>
  <c r="Z116" i="69" s="1"/>
  <c r="AC115" i="69"/>
  <c r="AB115" i="69"/>
  <c r="AA115" i="69"/>
  <c r="Y115" i="69"/>
  <c r="X115" i="69"/>
  <c r="W115" i="69"/>
  <c r="Z115" i="69" s="1"/>
  <c r="AD115" i="69" s="1"/>
  <c r="AC114" i="69"/>
  <c r="AB114" i="69"/>
  <c r="AA114" i="69"/>
  <c r="Y114" i="69"/>
  <c r="X114" i="69"/>
  <c r="W114" i="69"/>
  <c r="Z114" i="69" s="1"/>
  <c r="AD114" i="69" s="1"/>
  <c r="AC113" i="69"/>
  <c r="AB113" i="69"/>
  <c r="AA113" i="69"/>
  <c r="Y113" i="69"/>
  <c r="X113" i="69"/>
  <c r="W113" i="69"/>
  <c r="AC112" i="69"/>
  <c r="AB112" i="69"/>
  <c r="AA112" i="69"/>
  <c r="Y112" i="69"/>
  <c r="X112" i="69"/>
  <c r="W112" i="69"/>
  <c r="Z112" i="69" s="1"/>
  <c r="AC111" i="69"/>
  <c r="AB111" i="69"/>
  <c r="AA111" i="69"/>
  <c r="Y111" i="69"/>
  <c r="X111" i="69"/>
  <c r="W111" i="69"/>
  <c r="Z111" i="69" s="1"/>
  <c r="AC110" i="69"/>
  <c r="AD110" i="69" s="1"/>
  <c r="AB110" i="69"/>
  <c r="AA110" i="69"/>
  <c r="Y110" i="69"/>
  <c r="X110" i="69"/>
  <c r="W110" i="69"/>
  <c r="Z110" i="69" s="1"/>
  <c r="AC109" i="69"/>
  <c r="AB109" i="69"/>
  <c r="AA109" i="69"/>
  <c r="Y109" i="69"/>
  <c r="X109" i="69"/>
  <c r="W109" i="69"/>
  <c r="AC108" i="69"/>
  <c r="AB108" i="69"/>
  <c r="AA108" i="69"/>
  <c r="Y108" i="69"/>
  <c r="X108" i="69"/>
  <c r="W108" i="69"/>
  <c r="Z108" i="69" s="1"/>
  <c r="AC107" i="69"/>
  <c r="AB107" i="69"/>
  <c r="AA107" i="69"/>
  <c r="Y107" i="69"/>
  <c r="X107" i="69"/>
  <c r="W107" i="69"/>
  <c r="Z107" i="69" s="1"/>
  <c r="AD107" i="69" s="1"/>
  <c r="AC106" i="69"/>
  <c r="AB106" i="69"/>
  <c r="AA106" i="69"/>
  <c r="Y106" i="69"/>
  <c r="X106" i="69"/>
  <c r="W106" i="69"/>
  <c r="Z106" i="69" s="1"/>
  <c r="AD106" i="69" s="1"/>
  <c r="AD105" i="69"/>
  <c r="AC105" i="69"/>
  <c r="AB105" i="69"/>
  <c r="AA105" i="69"/>
  <c r="Y105" i="69"/>
  <c r="X105" i="69"/>
  <c r="W105" i="69"/>
  <c r="Z105" i="69" s="1"/>
  <c r="AC104" i="69"/>
  <c r="AB104" i="69"/>
  <c r="AA104" i="69"/>
  <c r="Y104" i="69"/>
  <c r="X104" i="69"/>
  <c r="W104" i="69"/>
  <c r="AC103" i="69"/>
  <c r="AB103" i="69"/>
  <c r="AA103" i="69"/>
  <c r="Y103" i="69"/>
  <c r="X103" i="69"/>
  <c r="W103" i="69"/>
  <c r="Z103" i="69" s="1"/>
  <c r="AC102" i="69"/>
  <c r="AD102" i="69" s="1"/>
  <c r="AB102" i="69"/>
  <c r="AA102" i="69"/>
  <c r="Y102" i="69"/>
  <c r="X102" i="69"/>
  <c r="W102" i="69"/>
  <c r="Z102" i="69" s="1"/>
  <c r="AC101" i="69"/>
  <c r="AD101" i="69" s="1"/>
  <c r="AB101" i="69"/>
  <c r="AA101" i="69"/>
  <c r="Y101" i="69"/>
  <c r="X101" i="69"/>
  <c r="W101" i="69"/>
  <c r="Z101" i="69" s="1"/>
  <c r="AC100" i="69"/>
  <c r="AB100" i="69"/>
  <c r="AA100" i="69"/>
  <c r="Y100" i="69"/>
  <c r="X100" i="69"/>
  <c r="W100" i="69"/>
  <c r="AC99" i="69"/>
  <c r="AB99" i="69"/>
  <c r="AA99" i="69"/>
  <c r="Y99" i="69"/>
  <c r="X99" i="69"/>
  <c r="W99" i="69"/>
  <c r="Z99" i="69" s="1"/>
  <c r="AD99" i="69" s="1"/>
  <c r="AC98" i="69"/>
  <c r="AB98" i="69"/>
  <c r="AA98" i="69"/>
  <c r="Y98" i="69"/>
  <c r="X98" i="69"/>
  <c r="W98" i="69"/>
  <c r="AD97" i="69"/>
  <c r="AC97" i="69"/>
  <c r="AB97" i="69"/>
  <c r="AA97" i="69"/>
  <c r="AC96" i="69"/>
  <c r="AB96" i="69"/>
  <c r="AA96" i="69"/>
  <c r="Y96" i="69"/>
  <c r="X96" i="69"/>
  <c r="W96" i="69"/>
  <c r="AC95" i="69"/>
  <c r="AB95" i="69"/>
  <c r="AA95" i="69"/>
  <c r="Y95" i="69"/>
  <c r="X95" i="69"/>
  <c r="W95" i="69"/>
  <c r="Y94" i="69"/>
  <c r="X94" i="69"/>
  <c r="W94" i="69"/>
  <c r="Z94" i="69" s="1"/>
  <c r="A92" i="69"/>
  <c r="AC91" i="69"/>
  <c r="AB91" i="69"/>
  <c r="AA91" i="69"/>
  <c r="Y91" i="69"/>
  <c r="X91" i="69"/>
  <c r="W91" i="69"/>
  <c r="Z91" i="69" s="1"/>
  <c r="B91" i="69"/>
  <c r="A91" i="69"/>
  <c r="AC90" i="69"/>
  <c r="AB90" i="69"/>
  <c r="AA90" i="69"/>
  <c r="Z90" i="69"/>
  <c r="B90" i="69"/>
  <c r="A90" i="69"/>
  <c r="AC89" i="69"/>
  <c r="AB89" i="69"/>
  <c r="AA89" i="69"/>
  <c r="Z89" i="69"/>
  <c r="B89" i="69"/>
  <c r="A89" i="69"/>
  <c r="AC88" i="69"/>
  <c r="AB88" i="69"/>
  <c r="AA88" i="69"/>
  <c r="Z88" i="69"/>
  <c r="B88" i="69"/>
  <c r="A88" i="69"/>
  <c r="AC87" i="69"/>
  <c r="AB87" i="69"/>
  <c r="AA87" i="69"/>
  <c r="Z87" i="69"/>
  <c r="B87" i="69"/>
  <c r="A87" i="69"/>
  <c r="AC86" i="69"/>
  <c r="AB86" i="69"/>
  <c r="AA86" i="69"/>
  <c r="Z86" i="69"/>
  <c r="B86" i="69"/>
  <c r="A86" i="69"/>
  <c r="AC85" i="69"/>
  <c r="AB85" i="69"/>
  <c r="AA85" i="69"/>
  <c r="Z85" i="69"/>
  <c r="B85" i="69"/>
  <c r="A85" i="69"/>
  <c r="AC84" i="69"/>
  <c r="AB84" i="69"/>
  <c r="AA84" i="69"/>
  <c r="Z84" i="69"/>
  <c r="B84" i="69"/>
  <c r="A84" i="69"/>
  <c r="AC83" i="69"/>
  <c r="AB83" i="69"/>
  <c r="AA83" i="69"/>
  <c r="Z83" i="69"/>
  <c r="B83" i="69"/>
  <c r="A83" i="69"/>
  <c r="AC82" i="69"/>
  <c r="AB82" i="69"/>
  <c r="AA82" i="69"/>
  <c r="Z82" i="69"/>
  <c r="B82" i="69"/>
  <c r="A82" i="69"/>
  <c r="AC81" i="69"/>
  <c r="AB81" i="69"/>
  <c r="AA81" i="69"/>
  <c r="Z81" i="69"/>
  <c r="B81" i="69"/>
  <c r="A81" i="69"/>
  <c r="AC80" i="69"/>
  <c r="AB80" i="69"/>
  <c r="AA80" i="69"/>
  <c r="Z80" i="69"/>
  <c r="B80" i="69"/>
  <c r="A80" i="69"/>
  <c r="AC79" i="69"/>
  <c r="AB79" i="69"/>
  <c r="AA79" i="69"/>
  <c r="Z79" i="69"/>
  <c r="B79" i="69"/>
  <c r="A79" i="69"/>
  <c r="AC78" i="69"/>
  <c r="AB78" i="69"/>
  <c r="AA78" i="69"/>
  <c r="Z78" i="69"/>
  <c r="B78" i="69"/>
  <c r="A78" i="69"/>
  <c r="AC77" i="69"/>
  <c r="AB77" i="69"/>
  <c r="AA77" i="69"/>
  <c r="Z77" i="69"/>
  <c r="B77" i="69"/>
  <c r="A77" i="69"/>
  <c r="AC76" i="69"/>
  <c r="AB76" i="69"/>
  <c r="AA76" i="69"/>
  <c r="Z76" i="69"/>
  <c r="B76" i="69"/>
  <c r="A76" i="69"/>
  <c r="AC75" i="69"/>
  <c r="AB75" i="69"/>
  <c r="AA75" i="69"/>
  <c r="Z75" i="69"/>
  <c r="B75" i="69"/>
  <c r="A75" i="69"/>
  <c r="AC74" i="69"/>
  <c r="AB74" i="69"/>
  <c r="AA74" i="69"/>
  <c r="Z74" i="69"/>
  <c r="B74" i="69"/>
  <c r="A74" i="69"/>
  <c r="AC73" i="69"/>
  <c r="AB73" i="69"/>
  <c r="AA73" i="69"/>
  <c r="Z73" i="69"/>
  <c r="B73" i="69"/>
  <c r="A73" i="69"/>
  <c r="A72" i="69"/>
  <c r="AC71" i="69"/>
  <c r="AB71" i="69"/>
  <c r="AA71" i="69"/>
  <c r="Y71" i="69"/>
  <c r="X71" i="69"/>
  <c r="W71" i="69"/>
  <c r="Z71" i="69" s="1"/>
  <c r="B71" i="69"/>
  <c r="A71" i="69"/>
  <c r="AC70" i="69"/>
  <c r="AB70" i="69"/>
  <c r="AA70" i="69"/>
  <c r="Z70" i="69"/>
  <c r="B70" i="69"/>
  <c r="A70" i="69"/>
  <c r="AC69" i="69"/>
  <c r="AB69" i="69"/>
  <c r="AA69" i="69"/>
  <c r="Z69" i="69"/>
  <c r="B69" i="69"/>
  <c r="A69" i="69"/>
  <c r="AC68" i="69"/>
  <c r="AB68" i="69"/>
  <c r="AA68" i="69"/>
  <c r="Z68" i="69"/>
  <c r="B68" i="69"/>
  <c r="A68" i="69"/>
  <c r="AC67" i="69"/>
  <c r="AB67" i="69"/>
  <c r="AA67" i="69"/>
  <c r="Z67" i="69"/>
  <c r="B67" i="69"/>
  <c r="A67" i="69"/>
  <c r="AC66" i="69"/>
  <c r="AB66" i="69"/>
  <c r="AA66" i="69"/>
  <c r="Z66" i="69"/>
  <c r="B66" i="69"/>
  <c r="A66" i="69"/>
  <c r="AC65" i="69"/>
  <c r="AB65" i="69"/>
  <c r="AA65" i="69"/>
  <c r="Z65" i="69"/>
  <c r="B65" i="69"/>
  <c r="A65" i="69"/>
  <c r="AC64" i="69"/>
  <c r="AB64" i="69"/>
  <c r="AA64" i="69"/>
  <c r="Z64" i="69"/>
  <c r="B64" i="69"/>
  <c r="A64" i="69"/>
  <c r="AC63" i="69"/>
  <c r="AB63" i="69"/>
  <c r="AA63" i="69"/>
  <c r="Z63" i="69"/>
  <c r="B63" i="69"/>
  <c r="A63" i="69"/>
  <c r="AC62" i="69"/>
  <c r="AB62" i="69"/>
  <c r="AA62" i="69"/>
  <c r="Z62" i="69"/>
  <c r="B62" i="69"/>
  <c r="A62" i="69"/>
  <c r="AC61" i="69"/>
  <c r="AB61" i="69"/>
  <c r="AA61" i="69"/>
  <c r="Z61" i="69"/>
  <c r="B61" i="69"/>
  <c r="A61" i="69"/>
  <c r="AC60" i="69"/>
  <c r="AB60" i="69"/>
  <c r="AA60" i="69"/>
  <c r="Z60" i="69"/>
  <c r="B60" i="69"/>
  <c r="A60" i="69"/>
  <c r="AC59" i="69"/>
  <c r="AB59" i="69"/>
  <c r="AA59" i="69"/>
  <c r="Z59" i="69"/>
  <c r="B59" i="69"/>
  <c r="A59" i="69"/>
  <c r="AC58" i="69"/>
  <c r="AB58" i="69"/>
  <c r="AA58" i="69"/>
  <c r="Z58" i="69"/>
  <c r="B58" i="69"/>
  <c r="A58" i="69"/>
  <c r="A57" i="69"/>
  <c r="AC56" i="69"/>
  <c r="AB56" i="69"/>
  <c r="AA56" i="69"/>
  <c r="Y56" i="69"/>
  <c r="X56" i="69"/>
  <c r="W56" i="69"/>
  <c r="Z56" i="69" s="1"/>
  <c r="B56" i="69"/>
  <c r="A56" i="69"/>
  <c r="AC55" i="69"/>
  <c r="AB55" i="69"/>
  <c r="AA55" i="69"/>
  <c r="Z55" i="69"/>
  <c r="B55" i="69"/>
  <c r="A55" i="69"/>
  <c r="AC54" i="69"/>
  <c r="AB54" i="69"/>
  <c r="AA54" i="69"/>
  <c r="Z54" i="69"/>
  <c r="B54" i="69"/>
  <c r="A54" i="69"/>
  <c r="AC53" i="69"/>
  <c r="AB53" i="69"/>
  <c r="AA53" i="69"/>
  <c r="Z53" i="69"/>
  <c r="B53" i="69"/>
  <c r="A53" i="69"/>
  <c r="AC52" i="69"/>
  <c r="AB52" i="69"/>
  <c r="AA52" i="69"/>
  <c r="Z52" i="69"/>
  <c r="B52" i="69"/>
  <c r="A52" i="69"/>
  <c r="AC51" i="69"/>
  <c r="AB51" i="69"/>
  <c r="AA51" i="69"/>
  <c r="Z51" i="69"/>
  <c r="B51" i="69"/>
  <c r="A51" i="69"/>
  <c r="AC50" i="69"/>
  <c r="AB50" i="69"/>
  <c r="AA50" i="69"/>
  <c r="Z50" i="69"/>
  <c r="B50" i="69"/>
  <c r="A50" i="69"/>
  <c r="AC49" i="69"/>
  <c r="AB49" i="69"/>
  <c r="AA49" i="69"/>
  <c r="Z49" i="69"/>
  <c r="B49" i="69"/>
  <c r="A49" i="69"/>
  <c r="AC48" i="69"/>
  <c r="AB48" i="69"/>
  <c r="AA48" i="69"/>
  <c r="Z48" i="69"/>
  <c r="B48" i="69"/>
  <c r="A48" i="69"/>
  <c r="AC47" i="69"/>
  <c r="AB47" i="69"/>
  <c r="AA47" i="69"/>
  <c r="Z47" i="69"/>
  <c r="B47" i="69"/>
  <c r="A47" i="69"/>
  <c r="AC46" i="69"/>
  <c r="AB46" i="69"/>
  <c r="AA46" i="69"/>
  <c r="Z46" i="69"/>
  <c r="B46" i="69"/>
  <c r="A46" i="69"/>
  <c r="AC45" i="69"/>
  <c r="AB45" i="69"/>
  <c r="AA45" i="69"/>
  <c r="Z45" i="69"/>
  <c r="B45" i="69"/>
  <c r="A45" i="69"/>
  <c r="AC44" i="69"/>
  <c r="AB44" i="69"/>
  <c r="AA44" i="69"/>
  <c r="Z44" i="69"/>
  <c r="B44" i="69"/>
  <c r="A44" i="69"/>
  <c r="AC43" i="69"/>
  <c r="AB43" i="69"/>
  <c r="AA43" i="69"/>
  <c r="Z43" i="69"/>
  <c r="B43" i="69"/>
  <c r="A43" i="69"/>
  <c r="AC42" i="69"/>
  <c r="AB42" i="69"/>
  <c r="AA42" i="69"/>
  <c r="Z42" i="69"/>
  <c r="B42" i="69"/>
  <c r="A42" i="69"/>
  <c r="AC41" i="69"/>
  <c r="AB41" i="69"/>
  <c r="AA41" i="69"/>
  <c r="Z41" i="69"/>
  <c r="B41" i="69"/>
  <c r="A41" i="69"/>
  <c r="AC40" i="69"/>
  <c r="AB40" i="69"/>
  <c r="AA40" i="69"/>
  <c r="Z40" i="69"/>
  <c r="B40" i="69"/>
  <c r="A40" i="69"/>
  <c r="AC39" i="69"/>
  <c r="AB39" i="69"/>
  <c r="AA39" i="69"/>
  <c r="Z39" i="69"/>
  <c r="B39" i="69"/>
  <c r="A39" i="69"/>
  <c r="AC38" i="69"/>
  <c r="AB38" i="69"/>
  <c r="AA38" i="69"/>
  <c r="Z38" i="69"/>
  <c r="B38" i="69"/>
  <c r="A38" i="69"/>
  <c r="AC37" i="69"/>
  <c r="AB37" i="69"/>
  <c r="AA37" i="69"/>
  <c r="Z37" i="69"/>
  <c r="B37" i="69"/>
  <c r="A37" i="69"/>
  <c r="AC36" i="69"/>
  <c r="AB36" i="69"/>
  <c r="AA36" i="69"/>
  <c r="Z36" i="69"/>
  <c r="B36" i="69"/>
  <c r="A36" i="69"/>
  <c r="AC35" i="69"/>
  <c r="AB35" i="69"/>
  <c r="AA35" i="69"/>
  <c r="Z35" i="69"/>
  <c r="B35" i="69"/>
  <c r="A35" i="69"/>
  <c r="AC34" i="69"/>
  <c r="AB34" i="69"/>
  <c r="AA34" i="69"/>
  <c r="Z34" i="69"/>
  <c r="B34" i="69"/>
  <c r="A34" i="69"/>
  <c r="AC33" i="69"/>
  <c r="AB33" i="69"/>
  <c r="AA33" i="69"/>
  <c r="Z33" i="69"/>
  <c r="B33" i="69"/>
  <c r="A33" i="69"/>
  <c r="AC32" i="69"/>
  <c r="AB32" i="69"/>
  <c r="AA32" i="69"/>
  <c r="Z32" i="69"/>
  <c r="B32" i="69"/>
  <c r="A32" i="69"/>
  <c r="AC31" i="69"/>
  <c r="AB31" i="69"/>
  <c r="AA31" i="69"/>
  <c r="Z31" i="69"/>
  <c r="B31" i="69"/>
  <c r="A31" i="69"/>
  <c r="AC30" i="69"/>
  <c r="AB30" i="69"/>
  <c r="AA30" i="69"/>
  <c r="Z30" i="69"/>
  <c r="B30" i="69"/>
  <c r="A30" i="69"/>
  <c r="AC29" i="69"/>
  <c r="AB29" i="69"/>
  <c r="AA29" i="69"/>
  <c r="Z29" i="69"/>
  <c r="B29" i="69"/>
  <c r="A29" i="69"/>
  <c r="AC28" i="69"/>
  <c r="AB28" i="69"/>
  <c r="AA28" i="69"/>
  <c r="Z28" i="69"/>
  <c r="B28" i="69"/>
  <c r="A28" i="69"/>
  <c r="AC27" i="69"/>
  <c r="AB27" i="69"/>
  <c r="AA27" i="69"/>
  <c r="Z27" i="69"/>
  <c r="B27" i="69"/>
  <c r="A27" i="69"/>
  <c r="AC26" i="69"/>
  <c r="AB26" i="69"/>
  <c r="AA26" i="69"/>
  <c r="Z26" i="69"/>
  <c r="B26" i="69"/>
  <c r="A26" i="69"/>
  <c r="AC25" i="69"/>
  <c r="AB25" i="69"/>
  <c r="AA25" i="69"/>
  <c r="Z25" i="69"/>
  <c r="B25" i="69"/>
  <c r="A25" i="69"/>
  <c r="AC24" i="69"/>
  <c r="AB24" i="69"/>
  <c r="AA24" i="69"/>
  <c r="Z24" i="69"/>
  <c r="B24" i="69"/>
  <c r="A24" i="69"/>
  <c r="AC23" i="69"/>
  <c r="AB23" i="69"/>
  <c r="AA23" i="69"/>
  <c r="Z23" i="69"/>
  <c r="B23" i="69"/>
  <c r="A23" i="69"/>
  <c r="AC22" i="69"/>
  <c r="AB22" i="69"/>
  <c r="AA22" i="69"/>
  <c r="Z22" i="69"/>
  <c r="B22" i="69"/>
  <c r="A22" i="69"/>
  <c r="AC21" i="69"/>
  <c r="AB21" i="69"/>
  <c r="AA21" i="69"/>
  <c r="Z21" i="69"/>
  <c r="B21" i="69"/>
  <c r="A21" i="69"/>
  <c r="AC20" i="69"/>
  <c r="AB20" i="69"/>
  <c r="AA20" i="69"/>
  <c r="Z20" i="69"/>
  <c r="B20" i="69"/>
  <c r="A20" i="69"/>
  <c r="AC19" i="69"/>
  <c r="AB19" i="69"/>
  <c r="AA19" i="69"/>
  <c r="Z19" i="69"/>
  <c r="B19" i="69"/>
  <c r="A19" i="69"/>
  <c r="AC18" i="69"/>
  <c r="AB18" i="69"/>
  <c r="AA18" i="69"/>
  <c r="Z18" i="69"/>
  <c r="B18" i="69"/>
  <c r="A18" i="69"/>
  <c r="AC17" i="69"/>
  <c r="AB17" i="69"/>
  <c r="AA17" i="69"/>
  <c r="Z17" i="69"/>
  <c r="B17" i="69"/>
  <c r="A17" i="69"/>
  <c r="AC16" i="69"/>
  <c r="AB16" i="69"/>
  <c r="AA16" i="69"/>
  <c r="Z16" i="69"/>
  <c r="B16" i="69"/>
  <c r="A16" i="69"/>
  <c r="AC15" i="69"/>
  <c r="AB15" i="69"/>
  <c r="AA15" i="69"/>
  <c r="Z15" i="69"/>
  <c r="B15" i="69"/>
  <c r="A15" i="69"/>
  <c r="AC14" i="69"/>
  <c r="AB14" i="69"/>
  <c r="AA14" i="69"/>
  <c r="Z14" i="69"/>
  <c r="B14" i="69"/>
  <c r="A14" i="69"/>
  <c r="AC13" i="69"/>
  <c r="AB13" i="69"/>
  <c r="AA13" i="69"/>
  <c r="Z13" i="69"/>
  <c r="B13" i="69"/>
  <c r="A13" i="69"/>
  <c r="AC12" i="69"/>
  <c r="AB12" i="69"/>
  <c r="AA12" i="69"/>
  <c r="Z12" i="69"/>
  <c r="B12" i="69"/>
  <c r="A12" i="69"/>
  <c r="AC11" i="69"/>
  <c r="AB11" i="69"/>
  <c r="AA11" i="69"/>
  <c r="Z11" i="69"/>
  <c r="B11" i="69"/>
  <c r="A11" i="69"/>
  <c r="AC10" i="69"/>
  <c r="AB10" i="69"/>
  <c r="AA10" i="69"/>
  <c r="Z10" i="69"/>
  <c r="B10" i="69"/>
  <c r="A10" i="69"/>
  <c r="AC9" i="69"/>
  <c r="AB9" i="69"/>
  <c r="AA9" i="69"/>
  <c r="Z9" i="69"/>
  <c r="B9" i="69"/>
  <c r="A9" i="69"/>
  <c r="AC8" i="69"/>
  <c r="AB8" i="69"/>
  <c r="AA8" i="69"/>
  <c r="Z8" i="69"/>
  <c r="B8" i="69"/>
  <c r="A8" i="69"/>
  <c r="AC7" i="69"/>
  <c r="AB7" i="69"/>
  <c r="AA7" i="69"/>
  <c r="Z7" i="69"/>
  <c r="B7" i="69"/>
  <c r="A7" i="69"/>
  <c r="X5" i="69"/>
  <c r="W5" i="69"/>
  <c r="AD4" i="69"/>
  <c r="S177" i="68"/>
  <c r="N177" i="68"/>
  <c r="F177" i="68"/>
  <c r="D177" i="68"/>
  <c r="C177" i="68"/>
  <c r="AC176" i="68"/>
  <c r="AD176" i="68" s="1"/>
  <c r="AB176" i="68"/>
  <c r="AA176" i="68"/>
  <c r="Y176" i="68"/>
  <c r="X176" i="68"/>
  <c r="W176" i="68"/>
  <c r="AC175" i="68"/>
  <c r="AD175" i="68" s="1"/>
  <c r="AB175" i="68"/>
  <c r="AA175" i="68"/>
  <c r="Y175" i="68"/>
  <c r="X175" i="68"/>
  <c r="W175" i="68"/>
  <c r="AD174" i="68"/>
  <c r="AC174" i="68"/>
  <c r="AB174" i="68"/>
  <c r="AA174" i="68"/>
  <c r="Y174" i="68"/>
  <c r="X174" i="68"/>
  <c r="W174" i="68"/>
  <c r="AC173" i="68"/>
  <c r="AD173" i="68" s="1"/>
  <c r="AB173" i="68"/>
  <c r="AA173" i="68"/>
  <c r="Y173" i="68"/>
  <c r="X173" i="68"/>
  <c r="W173" i="68"/>
  <c r="AC172" i="68"/>
  <c r="AB172" i="68"/>
  <c r="AA172" i="68"/>
  <c r="Y172" i="68"/>
  <c r="X172" i="68"/>
  <c r="W172" i="68"/>
  <c r="AC171" i="68"/>
  <c r="AD171" i="68" s="1"/>
  <c r="AB171" i="68"/>
  <c r="AA171" i="68"/>
  <c r="Y171" i="68"/>
  <c r="X171" i="68"/>
  <c r="W171" i="68"/>
  <c r="AC170" i="68"/>
  <c r="AD170" i="68" s="1"/>
  <c r="AB170" i="68"/>
  <c r="AA170" i="68"/>
  <c r="Y170" i="68"/>
  <c r="X170" i="68"/>
  <c r="W170" i="68"/>
  <c r="AC169" i="68"/>
  <c r="AD169" i="68" s="1"/>
  <c r="AB169" i="68"/>
  <c r="AA169" i="68"/>
  <c r="Y169" i="68"/>
  <c r="X169" i="68"/>
  <c r="W169" i="68"/>
  <c r="AC168" i="68"/>
  <c r="AD168" i="68" s="1"/>
  <c r="AB168" i="68"/>
  <c r="AA168" i="68"/>
  <c r="Y168" i="68"/>
  <c r="X168" i="68"/>
  <c r="W168" i="68"/>
  <c r="AC167" i="68"/>
  <c r="AD167" i="68" s="1"/>
  <c r="AB167" i="68"/>
  <c r="AA167" i="68"/>
  <c r="Y167" i="68"/>
  <c r="X167" i="68"/>
  <c r="W167" i="68"/>
  <c r="AD166" i="68"/>
  <c r="AC166" i="68"/>
  <c r="AB166" i="68"/>
  <c r="AA166" i="68"/>
  <c r="Y166" i="68"/>
  <c r="X166" i="68"/>
  <c r="W166" i="68"/>
  <c r="AD165" i="68"/>
  <c r="AC165" i="68"/>
  <c r="AB165" i="68"/>
  <c r="AA165" i="68"/>
  <c r="Y165" i="68"/>
  <c r="X165" i="68"/>
  <c r="W165" i="68"/>
  <c r="AC164" i="68"/>
  <c r="AB164" i="68"/>
  <c r="AA164" i="68"/>
  <c r="Y164" i="68"/>
  <c r="X164" i="68"/>
  <c r="W164" i="68"/>
  <c r="AC163" i="68"/>
  <c r="AD163" i="68" s="1"/>
  <c r="AB163" i="68"/>
  <c r="AA163" i="68"/>
  <c r="Y163" i="68"/>
  <c r="X163" i="68"/>
  <c r="W163" i="68"/>
  <c r="AC162" i="68"/>
  <c r="AD162" i="68" s="1"/>
  <c r="AB162" i="68"/>
  <c r="AA162" i="68"/>
  <c r="Y162" i="68"/>
  <c r="X162" i="68"/>
  <c r="W162" i="68"/>
  <c r="AC161" i="68"/>
  <c r="AD161" i="68" s="1"/>
  <c r="AB161" i="68"/>
  <c r="AA161" i="68"/>
  <c r="Y161" i="68"/>
  <c r="X161" i="68"/>
  <c r="W161" i="68"/>
  <c r="AC160" i="68"/>
  <c r="AD160" i="68" s="1"/>
  <c r="AB160" i="68"/>
  <c r="AA160" i="68"/>
  <c r="Y160" i="68"/>
  <c r="X160" i="68"/>
  <c r="W160" i="68"/>
  <c r="AC159" i="68"/>
  <c r="AD159" i="68" s="1"/>
  <c r="AB159" i="68"/>
  <c r="AA159" i="68"/>
  <c r="Y159" i="68"/>
  <c r="X159" i="68"/>
  <c r="W159" i="68"/>
  <c r="AD158" i="68"/>
  <c r="AC158" i="68"/>
  <c r="AB158" i="68"/>
  <c r="AA158" i="68"/>
  <c r="Y158" i="68"/>
  <c r="X158" i="68"/>
  <c r="W158" i="68"/>
  <c r="AC157" i="68"/>
  <c r="AD157" i="68" s="1"/>
  <c r="AB157" i="68"/>
  <c r="AA157" i="68"/>
  <c r="Y157" i="68"/>
  <c r="X157" i="68"/>
  <c r="W157" i="68"/>
  <c r="AC156" i="68"/>
  <c r="AD156" i="68" s="1"/>
  <c r="AB156" i="68"/>
  <c r="AA156" i="68"/>
  <c r="Y156" i="68"/>
  <c r="X156" i="68"/>
  <c r="W156" i="68"/>
  <c r="Z156" i="68" s="1"/>
  <c r="AC155" i="68"/>
  <c r="AB155" i="68"/>
  <c r="AA155" i="68"/>
  <c r="Y155" i="68"/>
  <c r="X155" i="68"/>
  <c r="W155" i="68"/>
  <c r="AC154" i="68"/>
  <c r="AB154" i="68"/>
  <c r="AA154" i="68"/>
  <c r="Y154" i="68"/>
  <c r="X154" i="68"/>
  <c r="W154" i="68"/>
  <c r="AC153" i="68"/>
  <c r="AB153" i="68"/>
  <c r="AA153" i="68"/>
  <c r="Y153" i="68"/>
  <c r="X153" i="68"/>
  <c r="W153" i="68"/>
  <c r="Z153" i="68" s="1"/>
  <c r="AD153" i="68" s="1"/>
  <c r="AC152" i="68"/>
  <c r="AB152" i="68"/>
  <c r="AA152" i="68"/>
  <c r="Y152" i="68"/>
  <c r="X152" i="68"/>
  <c r="W152" i="68"/>
  <c r="Z152" i="68" s="1"/>
  <c r="AC151" i="68"/>
  <c r="AD151" i="68" s="1"/>
  <c r="AB151" i="68"/>
  <c r="AA151" i="68"/>
  <c r="Y151" i="68"/>
  <c r="X151" i="68"/>
  <c r="W151" i="68"/>
  <c r="Z151" i="68" s="1"/>
  <c r="AC150" i="68"/>
  <c r="AB150" i="68"/>
  <c r="AA150" i="68"/>
  <c r="Y150" i="68"/>
  <c r="X150" i="68"/>
  <c r="W150" i="68"/>
  <c r="AC149" i="68"/>
  <c r="AB149" i="68"/>
  <c r="AA149" i="68"/>
  <c r="Y149" i="68"/>
  <c r="X149" i="68"/>
  <c r="W149" i="68"/>
  <c r="Z149" i="68" s="1"/>
  <c r="AC148" i="68"/>
  <c r="AB148" i="68"/>
  <c r="AA148" i="68"/>
  <c r="Y148" i="68"/>
  <c r="X148" i="68"/>
  <c r="W148" i="68"/>
  <c r="Z148" i="68" s="1"/>
  <c r="AC147" i="68"/>
  <c r="AB147" i="68"/>
  <c r="AA147" i="68"/>
  <c r="Y147" i="68"/>
  <c r="X147" i="68"/>
  <c r="W147" i="68"/>
  <c r="Z147" i="68" s="1"/>
  <c r="AD147" i="68" s="1"/>
  <c r="AC146" i="68"/>
  <c r="AB146" i="68"/>
  <c r="AA146" i="68"/>
  <c r="Y146" i="68"/>
  <c r="X146" i="68"/>
  <c r="W146" i="68"/>
  <c r="AC145" i="68"/>
  <c r="AB145" i="68"/>
  <c r="AA145" i="68"/>
  <c r="Y145" i="68"/>
  <c r="X145" i="68"/>
  <c r="W145" i="68"/>
  <c r="AC144" i="68"/>
  <c r="AB144" i="68"/>
  <c r="AA144" i="68"/>
  <c r="Y144" i="68"/>
  <c r="X144" i="68"/>
  <c r="W144" i="68"/>
  <c r="Z144" i="68" s="1"/>
  <c r="AC143" i="68"/>
  <c r="AD143" i="68" s="1"/>
  <c r="AB143" i="68"/>
  <c r="AA143" i="68"/>
  <c r="Y143" i="68"/>
  <c r="X143" i="68"/>
  <c r="W143" i="68"/>
  <c r="Z143" i="68" s="1"/>
  <c r="AC142" i="68"/>
  <c r="AB142" i="68"/>
  <c r="AA142" i="68"/>
  <c r="Y142" i="68"/>
  <c r="X142" i="68"/>
  <c r="W142" i="68"/>
  <c r="AC141" i="68"/>
  <c r="AB141" i="68"/>
  <c r="AA141" i="68"/>
  <c r="Y141" i="68"/>
  <c r="X141" i="68"/>
  <c r="W141" i="68"/>
  <c r="AC140" i="68"/>
  <c r="AB140" i="68"/>
  <c r="AA140" i="68"/>
  <c r="Y140" i="68"/>
  <c r="X140" i="68"/>
  <c r="W140" i="68"/>
  <c r="Z140" i="68" s="1"/>
  <c r="AC139" i="68"/>
  <c r="AB139" i="68"/>
  <c r="AA139" i="68"/>
  <c r="Y139" i="68"/>
  <c r="X139" i="68"/>
  <c r="W139" i="68"/>
  <c r="Z139" i="68" s="1"/>
  <c r="AD139" i="68" s="1"/>
  <c r="AC138" i="68"/>
  <c r="AB138" i="68"/>
  <c r="AA138" i="68"/>
  <c r="Y138" i="68"/>
  <c r="X138" i="68"/>
  <c r="W138" i="68"/>
  <c r="AC137" i="68"/>
  <c r="AB137" i="68"/>
  <c r="AA137" i="68"/>
  <c r="Y137" i="68"/>
  <c r="X137" i="68"/>
  <c r="W137" i="68"/>
  <c r="AC136" i="68"/>
  <c r="AB136" i="68"/>
  <c r="AA136" i="68"/>
  <c r="Y136" i="68"/>
  <c r="X136" i="68"/>
  <c r="W136" i="68"/>
  <c r="Z136" i="68" s="1"/>
  <c r="AC135" i="68"/>
  <c r="AB135" i="68"/>
  <c r="AA135" i="68"/>
  <c r="Y135" i="68"/>
  <c r="X135" i="68"/>
  <c r="W135" i="68"/>
  <c r="Z135" i="68" s="1"/>
  <c r="AC134" i="68"/>
  <c r="AD134" i="68" s="1"/>
  <c r="AB134" i="68"/>
  <c r="AA134" i="68"/>
  <c r="Y134" i="68"/>
  <c r="X134" i="68"/>
  <c r="W134" i="68"/>
  <c r="Z134" i="68" s="1"/>
  <c r="AC133" i="68"/>
  <c r="AB133" i="68"/>
  <c r="AA133" i="68"/>
  <c r="Y133" i="68"/>
  <c r="X133" i="68"/>
  <c r="W133" i="68"/>
  <c r="AC132" i="68"/>
  <c r="AB132" i="68"/>
  <c r="AA132" i="68"/>
  <c r="Y132" i="68"/>
  <c r="X132" i="68"/>
  <c r="W132" i="68"/>
  <c r="Z132" i="68" s="1"/>
  <c r="AC131" i="68"/>
  <c r="AB131" i="68"/>
  <c r="AA131" i="68"/>
  <c r="Y131" i="68"/>
  <c r="X131" i="68"/>
  <c r="W131" i="68"/>
  <c r="Z131" i="68" s="1"/>
  <c r="AD131" i="68" s="1"/>
  <c r="AC130" i="68"/>
  <c r="AB130" i="68"/>
  <c r="AA130" i="68"/>
  <c r="Y130" i="68"/>
  <c r="X130" i="68"/>
  <c r="W130" i="68"/>
  <c r="Z130" i="68" s="1"/>
  <c r="AD130" i="68" s="1"/>
  <c r="AC129" i="68"/>
  <c r="AB129" i="68"/>
  <c r="AA129" i="68"/>
  <c r="Y129" i="68"/>
  <c r="X129" i="68"/>
  <c r="W129" i="68"/>
  <c r="AC128" i="68"/>
  <c r="AB128" i="68"/>
  <c r="AA128" i="68"/>
  <c r="Y128" i="68"/>
  <c r="X128" i="68"/>
  <c r="W128" i="68"/>
  <c r="AC127" i="68"/>
  <c r="AB127" i="68"/>
  <c r="AA127" i="68"/>
  <c r="Y127" i="68"/>
  <c r="X127" i="68"/>
  <c r="W127" i="68"/>
  <c r="Z127" i="68" s="1"/>
  <c r="AC126" i="68"/>
  <c r="AD126" i="68" s="1"/>
  <c r="AB126" i="68"/>
  <c r="AA126" i="68"/>
  <c r="Y126" i="68"/>
  <c r="X126" i="68"/>
  <c r="W126" i="68"/>
  <c r="Z126" i="68" s="1"/>
  <c r="AC125" i="68"/>
  <c r="AB125" i="68"/>
  <c r="AA125" i="68"/>
  <c r="Y125" i="68"/>
  <c r="X125" i="68"/>
  <c r="W125" i="68"/>
  <c r="AC124" i="68"/>
  <c r="AB124" i="68"/>
  <c r="AA124" i="68"/>
  <c r="Y124" i="68"/>
  <c r="X124" i="68"/>
  <c r="W124" i="68"/>
  <c r="AC123" i="68"/>
  <c r="AB123" i="68"/>
  <c r="AA123" i="68"/>
  <c r="Y123" i="68"/>
  <c r="X123" i="68"/>
  <c r="W123" i="68"/>
  <c r="Z123" i="68" s="1"/>
  <c r="AD123" i="68" s="1"/>
  <c r="AC122" i="68"/>
  <c r="AB122" i="68"/>
  <c r="AA122" i="68"/>
  <c r="Y122" i="68"/>
  <c r="X122" i="68"/>
  <c r="W122" i="68"/>
  <c r="Z122" i="68" s="1"/>
  <c r="AD122" i="68" s="1"/>
  <c r="AD121" i="68"/>
  <c r="AC121" i="68"/>
  <c r="AB121" i="68"/>
  <c r="AA121" i="68"/>
  <c r="Y121" i="68"/>
  <c r="X121" i="68"/>
  <c r="W121" i="68"/>
  <c r="Z121" i="68" s="1"/>
  <c r="AC120" i="68"/>
  <c r="AB120" i="68"/>
  <c r="AA120" i="68"/>
  <c r="Y120" i="68"/>
  <c r="X120" i="68"/>
  <c r="W120" i="68"/>
  <c r="AC119" i="68"/>
  <c r="AB119" i="68"/>
  <c r="AA119" i="68"/>
  <c r="Y119" i="68"/>
  <c r="X119" i="68"/>
  <c r="W119" i="68"/>
  <c r="Z119" i="68" s="1"/>
  <c r="AC118" i="68"/>
  <c r="AB118" i="68"/>
  <c r="AA118" i="68"/>
  <c r="Y118" i="68"/>
  <c r="X118" i="68"/>
  <c r="W118" i="68"/>
  <c r="Z118" i="68" s="1"/>
  <c r="AC117" i="68"/>
  <c r="AD117" i="68" s="1"/>
  <c r="AB117" i="68"/>
  <c r="AA117" i="68"/>
  <c r="Y117" i="68"/>
  <c r="X117" i="68"/>
  <c r="W117" i="68"/>
  <c r="Z117" i="68" s="1"/>
  <c r="AC116" i="68"/>
  <c r="AB116" i="68"/>
  <c r="AA116" i="68"/>
  <c r="Y116" i="68"/>
  <c r="X116" i="68"/>
  <c r="W116" i="68"/>
  <c r="AC115" i="68"/>
  <c r="AB115" i="68"/>
  <c r="AA115" i="68"/>
  <c r="Y115" i="68"/>
  <c r="X115" i="68"/>
  <c r="W115" i="68"/>
  <c r="Z115" i="68" s="1"/>
  <c r="AD115" i="68" s="1"/>
  <c r="AC114" i="68"/>
  <c r="AB114" i="68"/>
  <c r="AA114" i="68"/>
  <c r="Y114" i="68"/>
  <c r="X114" i="68"/>
  <c r="W114" i="68"/>
  <c r="Z114" i="68" s="1"/>
  <c r="AD114" i="68" s="1"/>
  <c r="AD113" i="68"/>
  <c r="AC113" i="68"/>
  <c r="AB113" i="68"/>
  <c r="AA113" i="68"/>
  <c r="Y113" i="68"/>
  <c r="X113" i="68"/>
  <c r="W113" i="68"/>
  <c r="Z113" i="68" s="1"/>
  <c r="AC112" i="68"/>
  <c r="AB112" i="68"/>
  <c r="AA112" i="68"/>
  <c r="Y112" i="68"/>
  <c r="X112" i="68"/>
  <c r="W112" i="68"/>
  <c r="AC111" i="68"/>
  <c r="AB111" i="68"/>
  <c r="AA111" i="68"/>
  <c r="Y111" i="68"/>
  <c r="X111" i="68"/>
  <c r="W111" i="68"/>
  <c r="AC110" i="68"/>
  <c r="AB110" i="68"/>
  <c r="AA110" i="68"/>
  <c r="Y110" i="68"/>
  <c r="X110" i="68"/>
  <c r="W110" i="68"/>
  <c r="Z110" i="68" s="1"/>
  <c r="AC109" i="68"/>
  <c r="AD109" i="68" s="1"/>
  <c r="AB109" i="68"/>
  <c r="AA109" i="68"/>
  <c r="Y109" i="68"/>
  <c r="X109" i="68"/>
  <c r="W109" i="68"/>
  <c r="Z109" i="68" s="1"/>
  <c r="AC108" i="68"/>
  <c r="AB108" i="68"/>
  <c r="AA108" i="68"/>
  <c r="Y108" i="68"/>
  <c r="X108" i="68"/>
  <c r="W108" i="68"/>
  <c r="AC107" i="68"/>
  <c r="AB107" i="68"/>
  <c r="AA107" i="68"/>
  <c r="Y107" i="68"/>
  <c r="X107" i="68"/>
  <c r="W107" i="68"/>
  <c r="AC106" i="68"/>
  <c r="AB106" i="68"/>
  <c r="AA106" i="68"/>
  <c r="Y106" i="68"/>
  <c r="X106" i="68"/>
  <c r="W106" i="68"/>
  <c r="Z106" i="68" s="1"/>
  <c r="AD106" i="68" s="1"/>
  <c r="AD105" i="68"/>
  <c r="AC105" i="68"/>
  <c r="AB105" i="68"/>
  <c r="AA105" i="68"/>
  <c r="Y105" i="68"/>
  <c r="X105" i="68"/>
  <c r="W105" i="68"/>
  <c r="Z105" i="68" s="1"/>
  <c r="AC104" i="68"/>
  <c r="AD104" i="68" s="1"/>
  <c r="AB104" i="68"/>
  <c r="AA104" i="68"/>
  <c r="Y104" i="68"/>
  <c r="X104" i="68"/>
  <c r="W104" i="68"/>
  <c r="Z104" i="68" s="1"/>
  <c r="AC103" i="68"/>
  <c r="AB103" i="68"/>
  <c r="AA103" i="68"/>
  <c r="Y103" i="68"/>
  <c r="X103" i="68"/>
  <c r="W103" i="68"/>
  <c r="AC102" i="68"/>
  <c r="AB102" i="68"/>
  <c r="AA102" i="68"/>
  <c r="Y102" i="68"/>
  <c r="X102" i="68"/>
  <c r="W102" i="68"/>
  <c r="Z102" i="68" s="1"/>
  <c r="AC101" i="68"/>
  <c r="AB101" i="68"/>
  <c r="AA101" i="68"/>
  <c r="Y101" i="68"/>
  <c r="X101" i="68"/>
  <c r="W101" i="68"/>
  <c r="Z101" i="68" s="1"/>
  <c r="AC100" i="68"/>
  <c r="AD100" i="68" s="1"/>
  <c r="AB100" i="68"/>
  <c r="AA100" i="68"/>
  <c r="Y100" i="68"/>
  <c r="X100" i="68"/>
  <c r="W100" i="68"/>
  <c r="Z100" i="68" s="1"/>
  <c r="AC99" i="68"/>
  <c r="AB99" i="68"/>
  <c r="AA99" i="68"/>
  <c r="Y99" i="68"/>
  <c r="X99" i="68"/>
  <c r="W99" i="68"/>
  <c r="AC98" i="68"/>
  <c r="AB98" i="68"/>
  <c r="AA98" i="68"/>
  <c r="Y98" i="68"/>
  <c r="X98" i="68"/>
  <c r="W98" i="68"/>
  <c r="AD97" i="68"/>
  <c r="AC97" i="68"/>
  <c r="AB97" i="68"/>
  <c r="AA97" i="68"/>
  <c r="AC96" i="68"/>
  <c r="AB96" i="68"/>
  <c r="AA96" i="68"/>
  <c r="Y96" i="68"/>
  <c r="Z96" i="68" s="1"/>
  <c r="AD96" i="68" s="1"/>
  <c r="X96" i="68"/>
  <c r="W96" i="68"/>
  <c r="AC95" i="68"/>
  <c r="AB95" i="68"/>
  <c r="AA95" i="68"/>
  <c r="Y95" i="68"/>
  <c r="X95" i="68"/>
  <c r="W95" i="68"/>
  <c r="Y94" i="68"/>
  <c r="X94" i="68"/>
  <c r="W94" i="68"/>
  <c r="A92" i="68"/>
  <c r="AC91" i="68"/>
  <c r="AB91" i="68"/>
  <c r="AA91" i="68"/>
  <c r="Y91" i="68"/>
  <c r="X91" i="68"/>
  <c r="W91" i="68"/>
  <c r="Z91" i="68" s="1"/>
  <c r="B91" i="68"/>
  <c r="A91" i="68"/>
  <c r="AC90" i="68"/>
  <c r="AB90" i="68"/>
  <c r="AA90" i="68"/>
  <c r="Z90" i="68"/>
  <c r="B90" i="68"/>
  <c r="A90" i="68"/>
  <c r="AC89" i="68"/>
  <c r="AB89" i="68"/>
  <c r="AA89" i="68"/>
  <c r="Z89" i="68"/>
  <c r="B89" i="68"/>
  <c r="A89" i="68"/>
  <c r="AC88" i="68"/>
  <c r="AB88" i="68"/>
  <c r="AA88" i="68"/>
  <c r="Z88" i="68"/>
  <c r="B88" i="68"/>
  <c r="A88" i="68"/>
  <c r="AC87" i="68"/>
  <c r="AB87" i="68"/>
  <c r="AA87" i="68"/>
  <c r="Z87" i="68"/>
  <c r="B87" i="68"/>
  <c r="A87" i="68"/>
  <c r="AC86" i="68"/>
  <c r="AB86" i="68"/>
  <c r="AA86" i="68"/>
  <c r="Z86" i="68"/>
  <c r="B86" i="68"/>
  <c r="A86" i="68"/>
  <c r="AC85" i="68"/>
  <c r="AB85" i="68"/>
  <c r="AA85" i="68"/>
  <c r="Z85" i="68"/>
  <c r="B85" i="68"/>
  <c r="A85" i="68"/>
  <c r="AC84" i="68"/>
  <c r="AB84" i="68"/>
  <c r="AA84" i="68"/>
  <c r="Z84" i="68"/>
  <c r="B84" i="68"/>
  <c r="A84" i="68"/>
  <c r="AC83" i="68"/>
  <c r="AB83" i="68"/>
  <c r="AA83" i="68"/>
  <c r="Z83" i="68"/>
  <c r="B83" i="68"/>
  <c r="A83" i="68"/>
  <c r="AC82" i="68"/>
  <c r="AB82" i="68"/>
  <c r="AA82" i="68"/>
  <c r="Z82" i="68"/>
  <c r="B82" i="68"/>
  <c r="A82" i="68"/>
  <c r="AC81" i="68"/>
  <c r="AB81" i="68"/>
  <c r="AA81" i="68"/>
  <c r="Z81" i="68"/>
  <c r="B81" i="68"/>
  <c r="A81" i="68"/>
  <c r="AC80" i="68"/>
  <c r="AB80" i="68"/>
  <c r="AA80" i="68"/>
  <c r="Z80" i="68"/>
  <c r="B80" i="68"/>
  <c r="A80" i="68"/>
  <c r="AC79" i="68"/>
  <c r="AB79" i="68"/>
  <c r="AA79" i="68"/>
  <c r="Z79" i="68"/>
  <c r="B79" i="68"/>
  <c r="A79" i="68"/>
  <c r="AC78" i="68"/>
  <c r="AB78" i="68"/>
  <c r="AA78" i="68"/>
  <c r="Z78" i="68"/>
  <c r="B78" i="68"/>
  <c r="A78" i="68"/>
  <c r="AC77" i="68"/>
  <c r="AB77" i="68"/>
  <c r="AA77" i="68"/>
  <c r="Z77" i="68"/>
  <c r="B77" i="68"/>
  <c r="A77" i="68"/>
  <c r="AC76" i="68"/>
  <c r="AB76" i="68"/>
  <c r="AA76" i="68"/>
  <c r="Z76" i="68"/>
  <c r="B76" i="68"/>
  <c r="A76" i="68"/>
  <c r="AC75" i="68"/>
  <c r="AB75" i="68"/>
  <c r="AA75" i="68"/>
  <c r="Z75" i="68"/>
  <c r="B75" i="68"/>
  <c r="A75" i="68"/>
  <c r="AC74" i="68"/>
  <c r="AB74" i="68"/>
  <c r="AA74" i="68"/>
  <c r="Z74" i="68"/>
  <c r="B74" i="68"/>
  <c r="A74" i="68"/>
  <c r="AC73" i="68"/>
  <c r="AB73" i="68"/>
  <c r="AA73" i="68"/>
  <c r="Z73" i="68"/>
  <c r="B73" i="68"/>
  <c r="A73" i="68"/>
  <c r="A72" i="68"/>
  <c r="AC71" i="68"/>
  <c r="AB71" i="68"/>
  <c r="AA71" i="68"/>
  <c r="Y71" i="68"/>
  <c r="X71" i="68"/>
  <c r="W71" i="68"/>
  <c r="Z71" i="68" s="1"/>
  <c r="B71" i="68"/>
  <c r="A71" i="68"/>
  <c r="AC70" i="68"/>
  <c r="AB70" i="68"/>
  <c r="AA70" i="68"/>
  <c r="Z70" i="68"/>
  <c r="B70" i="68"/>
  <c r="A70" i="68"/>
  <c r="AC69" i="68"/>
  <c r="AB69" i="68"/>
  <c r="AA69" i="68"/>
  <c r="Z69" i="68"/>
  <c r="B69" i="68"/>
  <c r="A69" i="68"/>
  <c r="AC68" i="68"/>
  <c r="AB68" i="68"/>
  <c r="AA68" i="68"/>
  <c r="Z68" i="68"/>
  <c r="B68" i="68"/>
  <c r="A68" i="68"/>
  <c r="AC67" i="68"/>
  <c r="AB67" i="68"/>
  <c r="AA67" i="68"/>
  <c r="Z67" i="68"/>
  <c r="B67" i="68"/>
  <c r="A67" i="68"/>
  <c r="AC66" i="68"/>
  <c r="AB66" i="68"/>
  <c r="AA66" i="68"/>
  <c r="Z66" i="68"/>
  <c r="B66" i="68"/>
  <c r="A66" i="68"/>
  <c r="AC65" i="68"/>
  <c r="AB65" i="68"/>
  <c r="AA65" i="68"/>
  <c r="Z65" i="68"/>
  <c r="B65" i="68"/>
  <c r="A65" i="68"/>
  <c r="AC64" i="68"/>
  <c r="AB64" i="68"/>
  <c r="AA64" i="68"/>
  <c r="Z64" i="68"/>
  <c r="B64" i="68"/>
  <c r="A64" i="68"/>
  <c r="AC63" i="68"/>
  <c r="AB63" i="68"/>
  <c r="AA63" i="68"/>
  <c r="Z63" i="68"/>
  <c r="B63" i="68"/>
  <c r="A63" i="68"/>
  <c r="AC62" i="68"/>
  <c r="AB62" i="68"/>
  <c r="AA62" i="68"/>
  <c r="Z62" i="68"/>
  <c r="B62" i="68"/>
  <c r="A62" i="68"/>
  <c r="AC61" i="68"/>
  <c r="AB61" i="68"/>
  <c r="AA61" i="68"/>
  <c r="Z61" i="68"/>
  <c r="B61" i="68"/>
  <c r="A61" i="68"/>
  <c r="AC60" i="68"/>
  <c r="AB60" i="68"/>
  <c r="AA60" i="68"/>
  <c r="Z60" i="68"/>
  <c r="B60" i="68"/>
  <c r="A60" i="68"/>
  <c r="AC59" i="68"/>
  <c r="AB59" i="68"/>
  <c r="AA59" i="68"/>
  <c r="Z59" i="68"/>
  <c r="B59" i="68"/>
  <c r="A59" i="68"/>
  <c r="AC58" i="68"/>
  <c r="AB58" i="68"/>
  <c r="AA58" i="68"/>
  <c r="Z58" i="68"/>
  <c r="B58" i="68"/>
  <c r="A58" i="68"/>
  <c r="A57" i="68"/>
  <c r="AC56" i="68"/>
  <c r="AB56" i="68"/>
  <c r="AA56" i="68"/>
  <c r="Y56" i="68"/>
  <c r="X56" i="68"/>
  <c r="W56" i="68"/>
  <c r="Z56" i="68" s="1"/>
  <c r="B56" i="68"/>
  <c r="A56" i="68"/>
  <c r="AC55" i="68"/>
  <c r="AB55" i="68"/>
  <c r="AA55" i="68"/>
  <c r="Z55" i="68"/>
  <c r="B55" i="68"/>
  <c r="A55" i="68"/>
  <c r="AC54" i="68"/>
  <c r="AB54" i="68"/>
  <c r="AA54" i="68"/>
  <c r="Z54" i="68"/>
  <c r="B54" i="68"/>
  <c r="A54" i="68"/>
  <c r="AC53" i="68"/>
  <c r="AB53" i="68"/>
  <c r="AA53" i="68"/>
  <c r="Z53" i="68"/>
  <c r="B53" i="68"/>
  <c r="A53" i="68"/>
  <c r="AC52" i="68"/>
  <c r="AB52" i="68"/>
  <c r="AA52" i="68"/>
  <c r="Z52" i="68"/>
  <c r="B52" i="68"/>
  <c r="A52" i="68"/>
  <c r="AC51" i="68"/>
  <c r="AB51" i="68"/>
  <c r="AA51" i="68"/>
  <c r="Z51" i="68"/>
  <c r="B51" i="68"/>
  <c r="A51" i="68"/>
  <c r="AC50" i="68"/>
  <c r="AB50" i="68"/>
  <c r="AA50" i="68"/>
  <c r="Z50" i="68"/>
  <c r="B50" i="68"/>
  <c r="A50" i="68"/>
  <c r="AC49" i="68"/>
  <c r="AB49" i="68"/>
  <c r="AA49" i="68"/>
  <c r="Z49" i="68"/>
  <c r="B49" i="68"/>
  <c r="A49" i="68"/>
  <c r="AC48" i="68"/>
  <c r="AB48" i="68"/>
  <c r="AA48" i="68"/>
  <c r="Z48" i="68"/>
  <c r="B48" i="68"/>
  <c r="A48" i="68"/>
  <c r="AC47" i="68"/>
  <c r="AB47" i="68"/>
  <c r="AA47" i="68"/>
  <c r="Z47" i="68"/>
  <c r="B47" i="68"/>
  <c r="A47" i="68"/>
  <c r="AC46" i="68"/>
  <c r="AB46" i="68"/>
  <c r="AA46" i="68"/>
  <c r="Z46" i="68"/>
  <c r="B46" i="68"/>
  <c r="A46" i="68"/>
  <c r="AC45" i="68"/>
  <c r="AB45" i="68"/>
  <c r="AA45" i="68"/>
  <c r="Z45" i="68"/>
  <c r="B45" i="68"/>
  <c r="A45" i="68"/>
  <c r="AC44" i="68"/>
  <c r="AB44" i="68"/>
  <c r="AA44" i="68"/>
  <c r="Z44" i="68"/>
  <c r="B44" i="68"/>
  <c r="A44" i="68"/>
  <c r="AC43" i="68"/>
  <c r="AB43" i="68"/>
  <c r="AA43" i="68"/>
  <c r="Z43" i="68"/>
  <c r="B43" i="68"/>
  <c r="A43" i="68"/>
  <c r="AC42" i="68"/>
  <c r="AB42" i="68"/>
  <c r="AA42" i="68"/>
  <c r="Z42" i="68"/>
  <c r="B42" i="68"/>
  <c r="A42" i="68"/>
  <c r="AC41" i="68"/>
  <c r="AB41" i="68"/>
  <c r="AA41" i="68"/>
  <c r="Z41" i="68"/>
  <c r="B41" i="68"/>
  <c r="A41" i="68"/>
  <c r="AC40" i="68"/>
  <c r="AB40" i="68"/>
  <c r="AA40" i="68"/>
  <c r="Z40" i="68"/>
  <c r="B40" i="68"/>
  <c r="A40" i="68"/>
  <c r="AC39" i="68"/>
  <c r="AB39" i="68"/>
  <c r="AA39" i="68"/>
  <c r="Z39" i="68"/>
  <c r="B39" i="68"/>
  <c r="A39" i="68"/>
  <c r="AC38" i="68"/>
  <c r="AB38" i="68"/>
  <c r="AA38" i="68"/>
  <c r="Z38" i="68"/>
  <c r="B38" i="68"/>
  <c r="A38" i="68"/>
  <c r="AC37" i="68"/>
  <c r="AB37" i="68"/>
  <c r="AA37" i="68"/>
  <c r="Z37" i="68"/>
  <c r="B37" i="68"/>
  <c r="A37" i="68"/>
  <c r="AC36" i="68"/>
  <c r="AB36" i="68"/>
  <c r="AA36" i="68"/>
  <c r="Z36" i="68"/>
  <c r="B36" i="68"/>
  <c r="A36" i="68"/>
  <c r="AC35" i="68"/>
  <c r="AB35" i="68"/>
  <c r="AA35" i="68"/>
  <c r="Z35" i="68"/>
  <c r="B35" i="68"/>
  <c r="A35" i="68"/>
  <c r="AC34" i="68"/>
  <c r="AB34" i="68"/>
  <c r="AA34" i="68"/>
  <c r="Z34" i="68"/>
  <c r="B34" i="68"/>
  <c r="A34" i="68"/>
  <c r="AC33" i="68"/>
  <c r="AB33" i="68"/>
  <c r="AA33" i="68"/>
  <c r="Z33" i="68"/>
  <c r="B33" i="68"/>
  <c r="A33" i="68"/>
  <c r="AC32" i="68"/>
  <c r="AB32" i="68"/>
  <c r="AA32" i="68"/>
  <c r="Z32" i="68"/>
  <c r="B32" i="68"/>
  <c r="A32" i="68"/>
  <c r="AC31" i="68"/>
  <c r="AB31" i="68"/>
  <c r="AA31" i="68"/>
  <c r="Z31" i="68"/>
  <c r="B31" i="68"/>
  <c r="A31" i="68"/>
  <c r="AC30" i="68"/>
  <c r="AB30" i="68"/>
  <c r="AA30" i="68"/>
  <c r="Z30" i="68"/>
  <c r="B30" i="68"/>
  <c r="A30" i="68"/>
  <c r="AC29" i="68"/>
  <c r="AB29" i="68"/>
  <c r="AA29" i="68"/>
  <c r="Z29" i="68"/>
  <c r="B29" i="68"/>
  <c r="A29" i="68"/>
  <c r="AC28" i="68"/>
  <c r="AB28" i="68"/>
  <c r="AA28" i="68"/>
  <c r="Z28" i="68"/>
  <c r="B28" i="68"/>
  <c r="A28" i="68"/>
  <c r="AC27" i="68"/>
  <c r="AB27" i="68"/>
  <c r="AA27" i="68"/>
  <c r="Z27" i="68"/>
  <c r="B27" i="68"/>
  <c r="A27" i="68"/>
  <c r="AC26" i="68"/>
  <c r="AB26" i="68"/>
  <c r="AA26" i="68"/>
  <c r="Z26" i="68"/>
  <c r="B26" i="68"/>
  <c r="A26" i="68"/>
  <c r="AC25" i="68"/>
  <c r="AB25" i="68"/>
  <c r="AA25" i="68"/>
  <c r="Z25" i="68"/>
  <c r="B25" i="68"/>
  <c r="A25" i="68"/>
  <c r="AC24" i="68"/>
  <c r="AB24" i="68"/>
  <c r="AA24" i="68"/>
  <c r="Z24" i="68"/>
  <c r="B24" i="68"/>
  <c r="A24" i="68"/>
  <c r="AC23" i="68"/>
  <c r="AB23" i="68"/>
  <c r="AA23" i="68"/>
  <c r="Z23" i="68"/>
  <c r="B23" i="68"/>
  <c r="A23" i="68"/>
  <c r="AC22" i="68"/>
  <c r="AB22" i="68"/>
  <c r="AA22" i="68"/>
  <c r="Z22" i="68"/>
  <c r="B22" i="68"/>
  <c r="A22" i="68"/>
  <c r="AC21" i="68"/>
  <c r="AB21" i="68"/>
  <c r="AA21" i="68"/>
  <c r="Z21" i="68"/>
  <c r="B21" i="68"/>
  <c r="A21" i="68"/>
  <c r="AC20" i="68"/>
  <c r="AB20" i="68"/>
  <c r="AA20" i="68"/>
  <c r="Z20" i="68"/>
  <c r="B20" i="68"/>
  <c r="A20" i="68"/>
  <c r="AC19" i="68"/>
  <c r="AB19" i="68"/>
  <c r="AA19" i="68"/>
  <c r="Z19" i="68"/>
  <c r="B19" i="68"/>
  <c r="A19" i="68"/>
  <c r="AC18" i="68"/>
  <c r="AB18" i="68"/>
  <c r="AA18" i="68"/>
  <c r="Z18" i="68"/>
  <c r="B18" i="68"/>
  <c r="A18" i="68"/>
  <c r="AC17" i="68"/>
  <c r="AB17" i="68"/>
  <c r="AA17" i="68"/>
  <c r="Z17" i="68"/>
  <c r="B17" i="68"/>
  <c r="A17" i="68"/>
  <c r="AC16" i="68"/>
  <c r="AB16" i="68"/>
  <c r="AA16" i="68"/>
  <c r="Z16" i="68"/>
  <c r="B16" i="68"/>
  <c r="A16" i="68"/>
  <c r="AC15" i="68"/>
  <c r="AB15" i="68"/>
  <c r="AA15" i="68"/>
  <c r="Z15" i="68"/>
  <c r="B15" i="68"/>
  <c r="A15" i="68"/>
  <c r="AC14" i="68"/>
  <c r="AB14" i="68"/>
  <c r="AA14" i="68"/>
  <c r="Z14" i="68"/>
  <c r="B14" i="68"/>
  <c r="A14" i="68"/>
  <c r="AC13" i="68"/>
  <c r="AB13" i="68"/>
  <c r="AA13" i="68"/>
  <c r="Z13" i="68"/>
  <c r="B13" i="68"/>
  <c r="A13" i="68"/>
  <c r="AC12" i="68"/>
  <c r="AB12" i="68"/>
  <c r="AA12" i="68"/>
  <c r="Z12" i="68"/>
  <c r="B12" i="68"/>
  <c r="A12" i="68"/>
  <c r="AC11" i="68"/>
  <c r="AB11" i="68"/>
  <c r="AA11" i="68"/>
  <c r="Z11" i="68"/>
  <c r="B11" i="68"/>
  <c r="A11" i="68"/>
  <c r="AC10" i="68"/>
  <c r="AB10" i="68"/>
  <c r="AA10" i="68"/>
  <c r="Z10" i="68"/>
  <c r="B10" i="68"/>
  <c r="A10" i="68"/>
  <c r="AC9" i="68"/>
  <c r="AB9" i="68"/>
  <c r="AA9" i="68"/>
  <c r="Z9" i="68"/>
  <c r="B9" i="68"/>
  <c r="A9" i="68"/>
  <c r="AC8" i="68"/>
  <c r="AB8" i="68"/>
  <c r="AA8" i="68"/>
  <c r="Z8" i="68"/>
  <c r="B8" i="68"/>
  <c r="A8" i="68"/>
  <c r="AC7" i="68"/>
  <c r="AB7" i="68"/>
  <c r="AA7" i="68"/>
  <c r="Z7" i="68"/>
  <c r="B7" i="68"/>
  <c r="A7" i="68"/>
  <c r="X5" i="68"/>
  <c r="W5" i="68"/>
  <c r="AD4" i="68"/>
  <c r="S177" i="67"/>
  <c r="N177" i="67"/>
  <c r="F177" i="67"/>
  <c r="D177" i="67"/>
  <c r="C177" i="67"/>
  <c r="AC176" i="67"/>
  <c r="AD176" i="67" s="1"/>
  <c r="AB176" i="67"/>
  <c r="AA176" i="67"/>
  <c r="Y176" i="67"/>
  <c r="X176" i="67"/>
  <c r="W176" i="67"/>
  <c r="AC175" i="67"/>
  <c r="AD175" i="67" s="1"/>
  <c r="AB175" i="67"/>
  <c r="AA175" i="67"/>
  <c r="Y175" i="67"/>
  <c r="X175" i="67"/>
  <c r="W175" i="67"/>
  <c r="AD174" i="67"/>
  <c r="AC174" i="67"/>
  <c r="AB174" i="67"/>
  <c r="AA174" i="67"/>
  <c r="Y174" i="67"/>
  <c r="X174" i="67"/>
  <c r="W174" i="67"/>
  <c r="AC173" i="67"/>
  <c r="AD173" i="67" s="1"/>
  <c r="AB173" i="67"/>
  <c r="AA173" i="67"/>
  <c r="Y173" i="67"/>
  <c r="X173" i="67"/>
  <c r="W173" i="67"/>
  <c r="AC172" i="67"/>
  <c r="AD172" i="67" s="1"/>
  <c r="AB172" i="67"/>
  <c r="AA172" i="67"/>
  <c r="Y172" i="67"/>
  <c r="X172" i="67"/>
  <c r="W172" i="67"/>
  <c r="AC171" i="67"/>
  <c r="AD171" i="67" s="1"/>
  <c r="AB171" i="67"/>
  <c r="AA171" i="67"/>
  <c r="Y171" i="67"/>
  <c r="X171" i="67"/>
  <c r="W171" i="67"/>
  <c r="AC170" i="67"/>
  <c r="AD170" i="67" s="1"/>
  <c r="AB170" i="67"/>
  <c r="AA170" i="67"/>
  <c r="Y170" i="67"/>
  <c r="X170" i="67"/>
  <c r="W170" i="67"/>
  <c r="AC169" i="67"/>
  <c r="AD169" i="67" s="1"/>
  <c r="AB169" i="67"/>
  <c r="AA169" i="67"/>
  <c r="Y169" i="67"/>
  <c r="X169" i="67"/>
  <c r="W169" i="67"/>
  <c r="AD168" i="67"/>
  <c r="AC168" i="67"/>
  <c r="AB168" i="67"/>
  <c r="AA168" i="67"/>
  <c r="Y168" i="67"/>
  <c r="X168" i="67"/>
  <c r="W168" i="67"/>
  <c r="AC167" i="67"/>
  <c r="AD167" i="67" s="1"/>
  <c r="AB167" i="67"/>
  <c r="AA167" i="67"/>
  <c r="Y167" i="67"/>
  <c r="X167" i="67"/>
  <c r="W167" i="67"/>
  <c r="AD166" i="67"/>
  <c r="AC166" i="67"/>
  <c r="AB166" i="67"/>
  <c r="AA166" i="67"/>
  <c r="Y166" i="67"/>
  <c r="X166" i="67"/>
  <c r="W166" i="67"/>
  <c r="AC165" i="67"/>
  <c r="AD165" i="67" s="1"/>
  <c r="AB165" i="67"/>
  <c r="AA165" i="67"/>
  <c r="Y165" i="67"/>
  <c r="X165" i="67"/>
  <c r="W165" i="67"/>
  <c r="AC164" i="67"/>
  <c r="AD164" i="67" s="1"/>
  <c r="AB164" i="67"/>
  <c r="AA164" i="67"/>
  <c r="Y164" i="67"/>
  <c r="X164" i="67"/>
  <c r="W164" i="67"/>
  <c r="AC163" i="67"/>
  <c r="AD163" i="67" s="1"/>
  <c r="AB163" i="67"/>
  <c r="AA163" i="67"/>
  <c r="Y163" i="67"/>
  <c r="X163" i="67"/>
  <c r="W163" i="67"/>
  <c r="AC162" i="67"/>
  <c r="AD162" i="67" s="1"/>
  <c r="AB162" i="67"/>
  <c r="AA162" i="67"/>
  <c r="Y162" i="67"/>
  <c r="X162" i="67"/>
  <c r="W162" i="67"/>
  <c r="AC161" i="67"/>
  <c r="AD161" i="67" s="1"/>
  <c r="AB161" i="67"/>
  <c r="AA161" i="67"/>
  <c r="Y161" i="67"/>
  <c r="X161" i="67"/>
  <c r="W161" i="67"/>
  <c r="AD160" i="67"/>
  <c r="AC160" i="67"/>
  <c r="AB160" i="67"/>
  <c r="AA160" i="67"/>
  <c r="Y160" i="67"/>
  <c r="X160" i="67"/>
  <c r="W160" i="67"/>
  <c r="AC159" i="67"/>
  <c r="AD159" i="67" s="1"/>
  <c r="AB159" i="67"/>
  <c r="AA159" i="67"/>
  <c r="Y159" i="67"/>
  <c r="X159" i="67"/>
  <c r="W159" i="67"/>
  <c r="AD158" i="67"/>
  <c r="AC158" i="67"/>
  <c r="AB158" i="67"/>
  <c r="AA158" i="67"/>
  <c r="Y158" i="67"/>
  <c r="X158" i="67"/>
  <c r="W158" i="67"/>
  <c r="AC157" i="67"/>
  <c r="AD157" i="67" s="1"/>
  <c r="AB157" i="67"/>
  <c r="AA157" i="67"/>
  <c r="Y157" i="67"/>
  <c r="X157" i="67"/>
  <c r="W157" i="67"/>
  <c r="AC156" i="67"/>
  <c r="AB156" i="67"/>
  <c r="AA156" i="67"/>
  <c r="Y156" i="67"/>
  <c r="X156" i="67"/>
  <c r="W156" i="67"/>
  <c r="AC155" i="67"/>
  <c r="AB155" i="67"/>
  <c r="AA155" i="67"/>
  <c r="Y155" i="67"/>
  <c r="X155" i="67"/>
  <c r="W155" i="67"/>
  <c r="Z155" i="67" s="1"/>
  <c r="AD155" i="67" s="1"/>
  <c r="AC154" i="67"/>
  <c r="AB154" i="67"/>
  <c r="AA154" i="67"/>
  <c r="Y154" i="67"/>
  <c r="X154" i="67"/>
  <c r="W154" i="67"/>
  <c r="Z154" i="67" s="1"/>
  <c r="AD154" i="67" s="1"/>
  <c r="AC153" i="67"/>
  <c r="AB153" i="67"/>
  <c r="AA153" i="67"/>
  <c r="Y153" i="67"/>
  <c r="X153" i="67"/>
  <c r="W153" i="67"/>
  <c r="Z153" i="67" s="1"/>
  <c r="AD153" i="67" s="1"/>
  <c r="AC152" i="67"/>
  <c r="AB152" i="67"/>
  <c r="AA152" i="67"/>
  <c r="Y152" i="67"/>
  <c r="X152" i="67"/>
  <c r="W152" i="67"/>
  <c r="AC151" i="67"/>
  <c r="AB151" i="67"/>
  <c r="AA151" i="67"/>
  <c r="Y151" i="67"/>
  <c r="X151" i="67"/>
  <c r="W151" i="67"/>
  <c r="Z151" i="67" s="1"/>
  <c r="AD151" i="67" s="1"/>
  <c r="AC150" i="67"/>
  <c r="AB150" i="67"/>
  <c r="AA150" i="67"/>
  <c r="Y150" i="67"/>
  <c r="X150" i="67"/>
  <c r="W150" i="67"/>
  <c r="Z150" i="67" s="1"/>
  <c r="AD150" i="67" s="1"/>
  <c r="AC149" i="67"/>
  <c r="AB149" i="67"/>
  <c r="AA149" i="67"/>
  <c r="Y149" i="67"/>
  <c r="X149" i="67"/>
  <c r="W149" i="67"/>
  <c r="Z149" i="67" s="1"/>
  <c r="AD149" i="67" s="1"/>
  <c r="AC148" i="67"/>
  <c r="AB148" i="67"/>
  <c r="AA148" i="67"/>
  <c r="Y148" i="67"/>
  <c r="X148" i="67"/>
  <c r="W148" i="67"/>
  <c r="AC147" i="67"/>
  <c r="AB147" i="67"/>
  <c r="AA147" i="67"/>
  <c r="Y147" i="67"/>
  <c r="X147" i="67"/>
  <c r="W147" i="67"/>
  <c r="Z147" i="67" s="1"/>
  <c r="AD147" i="67" s="1"/>
  <c r="AC146" i="67"/>
  <c r="AB146" i="67"/>
  <c r="AA146" i="67"/>
  <c r="Y146" i="67"/>
  <c r="X146" i="67"/>
  <c r="W146" i="67"/>
  <c r="Z146" i="67" s="1"/>
  <c r="AD146" i="67" s="1"/>
  <c r="AC145" i="67"/>
  <c r="AB145" i="67"/>
  <c r="AA145" i="67"/>
  <c r="Y145" i="67"/>
  <c r="X145" i="67"/>
  <c r="W145" i="67"/>
  <c r="Z145" i="67" s="1"/>
  <c r="AD145" i="67" s="1"/>
  <c r="AC144" i="67"/>
  <c r="AB144" i="67"/>
  <c r="AA144" i="67"/>
  <c r="Y144" i="67"/>
  <c r="X144" i="67"/>
  <c r="W144" i="67"/>
  <c r="AC143" i="67"/>
  <c r="AB143" i="67"/>
  <c r="AA143" i="67"/>
  <c r="Y143" i="67"/>
  <c r="X143" i="67"/>
  <c r="W143" i="67"/>
  <c r="Z143" i="67" s="1"/>
  <c r="AD143" i="67" s="1"/>
  <c r="AC142" i="67"/>
  <c r="AB142" i="67"/>
  <c r="AA142" i="67"/>
  <c r="Y142" i="67"/>
  <c r="X142" i="67"/>
  <c r="W142" i="67"/>
  <c r="Z142" i="67" s="1"/>
  <c r="AD142" i="67" s="1"/>
  <c r="AC141" i="67"/>
  <c r="AB141" i="67"/>
  <c r="AA141" i="67"/>
  <c r="Y141" i="67"/>
  <c r="X141" i="67"/>
  <c r="W141" i="67"/>
  <c r="Z141" i="67" s="1"/>
  <c r="AD141" i="67" s="1"/>
  <c r="AC140" i="67"/>
  <c r="AB140" i="67"/>
  <c r="AA140" i="67"/>
  <c r="Y140" i="67"/>
  <c r="X140" i="67"/>
  <c r="W140" i="67"/>
  <c r="AC139" i="67"/>
  <c r="AB139" i="67"/>
  <c r="AA139" i="67"/>
  <c r="Y139" i="67"/>
  <c r="X139" i="67"/>
  <c r="W139" i="67"/>
  <c r="Z139" i="67" s="1"/>
  <c r="AD139" i="67" s="1"/>
  <c r="AC138" i="67"/>
  <c r="AB138" i="67"/>
  <c r="AA138" i="67"/>
  <c r="Y138" i="67"/>
  <c r="X138" i="67"/>
  <c r="W138" i="67"/>
  <c r="Z138" i="67" s="1"/>
  <c r="AD138" i="67" s="1"/>
  <c r="AC137" i="67"/>
  <c r="AB137" i="67"/>
  <c r="AA137" i="67"/>
  <c r="Y137" i="67"/>
  <c r="X137" i="67"/>
  <c r="W137" i="67"/>
  <c r="Z137" i="67" s="1"/>
  <c r="AD137" i="67" s="1"/>
  <c r="AC136" i="67"/>
  <c r="AB136" i="67"/>
  <c r="AA136" i="67"/>
  <c r="Y136" i="67"/>
  <c r="X136" i="67"/>
  <c r="W136" i="67"/>
  <c r="AC135" i="67"/>
  <c r="AB135" i="67"/>
  <c r="AA135" i="67"/>
  <c r="Y135" i="67"/>
  <c r="X135" i="67"/>
  <c r="W135" i="67"/>
  <c r="Z135" i="67" s="1"/>
  <c r="AD135" i="67" s="1"/>
  <c r="AC134" i="67"/>
  <c r="AB134" i="67"/>
  <c r="AA134" i="67"/>
  <c r="Y134" i="67"/>
  <c r="X134" i="67"/>
  <c r="W134" i="67"/>
  <c r="Z134" i="67" s="1"/>
  <c r="AD134" i="67" s="1"/>
  <c r="AC133" i="67"/>
  <c r="AB133" i="67"/>
  <c r="AA133" i="67"/>
  <c r="Y133" i="67"/>
  <c r="X133" i="67"/>
  <c r="W133" i="67"/>
  <c r="Z133" i="67" s="1"/>
  <c r="AD133" i="67" s="1"/>
  <c r="AC132" i="67"/>
  <c r="AB132" i="67"/>
  <c r="AA132" i="67"/>
  <c r="Y132" i="67"/>
  <c r="X132" i="67"/>
  <c r="W132" i="67"/>
  <c r="AC131" i="67"/>
  <c r="AB131" i="67"/>
  <c r="AA131" i="67"/>
  <c r="Y131" i="67"/>
  <c r="X131" i="67"/>
  <c r="W131" i="67"/>
  <c r="Z131" i="67" s="1"/>
  <c r="AD131" i="67" s="1"/>
  <c r="AC130" i="67"/>
  <c r="AB130" i="67"/>
  <c r="AA130" i="67"/>
  <c r="Y130" i="67"/>
  <c r="X130" i="67"/>
  <c r="W130" i="67"/>
  <c r="Z130" i="67" s="1"/>
  <c r="AD130" i="67" s="1"/>
  <c r="AC129" i="67"/>
  <c r="AB129" i="67"/>
  <c r="AA129" i="67"/>
  <c r="Y129" i="67"/>
  <c r="X129" i="67"/>
  <c r="W129" i="67"/>
  <c r="Z129" i="67" s="1"/>
  <c r="AD129" i="67" s="1"/>
  <c r="AC128" i="67"/>
  <c r="AB128" i="67"/>
  <c r="AA128" i="67"/>
  <c r="Y128" i="67"/>
  <c r="X128" i="67"/>
  <c r="W128" i="67"/>
  <c r="AC127" i="67"/>
  <c r="AB127" i="67"/>
  <c r="AA127" i="67"/>
  <c r="Y127" i="67"/>
  <c r="X127" i="67"/>
  <c r="W127" i="67"/>
  <c r="Z127" i="67" s="1"/>
  <c r="AD127" i="67" s="1"/>
  <c r="AC126" i="67"/>
  <c r="AB126" i="67"/>
  <c r="AA126" i="67"/>
  <c r="Y126" i="67"/>
  <c r="X126" i="67"/>
  <c r="W126" i="67"/>
  <c r="Z126" i="67" s="1"/>
  <c r="AD126" i="67" s="1"/>
  <c r="AC125" i="67"/>
  <c r="AB125" i="67"/>
  <c r="AA125" i="67"/>
  <c r="Y125" i="67"/>
  <c r="X125" i="67"/>
  <c r="W125" i="67"/>
  <c r="Z125" i="67" s="1"/>
  <c r="AD125" i="67" s="1"/>
  <c r="AC124" i="67"/>
  <c r="AB124" i="67"/>
  <c r="AA124" i="67"/>
  <c r="Y124" i="67"/>
  <c r="X124" i="67"/>
  <c r="W124" i="67"/>
  <c r="AC123" i="67"/>
  <c r="AB123" i="67"/>
  <c r="AA123" i="67"/>
  <c r="Y123" i="67"/>
  <c r="X123" i="67"/>
  <c r="W123" i="67"/>
  <c r="Z123" i="67" s="1"/>
  <c r="AD123" i="67" s="1"/>
  <c r="AC122" i="67"/>
  <c r="AB122" i="67"/>
  <c r="AA122" i="67"/>
  <c r="Y122" i="67"/>
  <c r="X122" i="67"/>
  <c r="W122" i="67"/>
  <c r="Z122" i="67" s="1"/>
  <c r="AD122" i="67" s="1"/>
  <c r="AC121" i="67"/>
  <c r="AB121" i="67"/>
  <c r="AA121" i="67"/>
  <c r="Y121" i="67"/>
  <c r="X121" i="67"/>
  <c r="W121" i="67"/>
  <c r="Z121" i="67" s="1"/>
  <c r="AD121" i="67" s="1"/>
  <c r="AC120" i="67"/>
  <c r="AB120" i="67"/>
  <c r="AA120" i="67"/>
  <c r="Y120" i="67"/>
  <c r="X120" i="67"/>
  <c r="W120" i="67"/>
  <c r="AC119" i="67"/>
  <c r="AB119" i="67"/>
  <c r="AA119" i="67"/>
  <c r="Y119" i="67"/>
  <c r="X119" i="67"/>
  <c r="W119" i="67"/>
  <c r="Z119" i="67" s="1"/>
  <c r="AD119" i="67" s="1"/>
  <c r="AC118" i="67"/>
  <c r="AB118" i="67"/>
  <c r="AA118" i="67"/>
  <c r="Y118" i="67"/>
  <c r="X118" i="67"/>
  <c r="W118" i="67"/>
  <c r="Z118" i="67" s="1"/>
  <c r="AD118" i="67" s="1"/>
  <c r="AC117" i="67"/>
  <c r="AB117" i="67"/>
  <c r="AA117" i="67"/>
  <c r="Y117" i="67"/>
  <c r="X117" i="67"/>
  <c r="W117" i="67"/>
  <c r="Z117" i="67" s="1"/>
  <c r="AD117" i="67" s="1"/>
  <c r="AC116" i="67"/>
  <c r="AB116" i="67"/>
  <c r="AA116" i="67"/>
  <c r="Y116" i="67"/>
  <c r="X116" i="67"/>
  <c r="W116" i="67"/>
  <c r="AC115" i="67"/>
  <c r="AB115" i="67"/>
  <c r="AA115" i="67"/>
  <c r="Y115" i="67"/>
  <c r="X115" i="67"/>
  <c r="W115" i="67"/>
  <c r="Z115" i="67" s="1"/>
  <c r="AD115" i="67" s="1"/>
  <c r="AC114" i="67"/>
  <c r="AB114" i="67"/>
  <c r="AA114" i="67"/>
  <c r="Y114" i="67"/>
  <c r="X114" i="67"/>
  <c r="W114" i="67"/>
  <c r="Z114" i="67" s="1"/>
  <c r="AD114" i="67" s="1"/>
  <c r="AC113" i="67"/>
  <c r="AB113" i="67"/>
  <c r="AA113" i="67"/>
  <c r="Y113" i="67"/>
  <c r="X113" i="67"/>
  <c r="W113" i="67"/>
  <c r="Z113" i="67" s="1"/>
  <c r="AD113" i="67" s="1"/>
  <c r="AC112" i="67"/>
  <c r="AB112" i="67"/>
  <c r="AA112" i="67"/>
  <c r="Y112" i="67"/>
  <c r="X112" i="67"/>
  <c r="W112" i="67"/>
  <c r="AC111" i="67"/>
  <c r="AB111" i="67"/>
  <c r="AA111" i="67"/>
  <c r="Y111" i="67"/>
  <c r="X111" i="67"/>
  <c r="W111" i="67"/>
  <c r="Z111" i="67" s="1"/>
  <c r="AD111" i="67" s="1"/>
  <c r="AC110" i="67"/>
  <c r="AB110" i="67"/>
  <c r="AA110" i="67"/>
  <c r="Y110" i="67"/>
  <c r="X110" i="67"/>
  <c r="W110" i="67"/>
  <c r="Z110" i="67" s="1"/>
  <c r="AD110" i="67" s="1"/>
  <c r="AC109" i="67"/>
  <c r="AB109" i="67"/>
  <c r="AA109" i="67"/>
  <c r="Y109" i="67"/>
  <c r="X109" i="67"/>
  <c r="W109" i="67"/>
  <c r="Z109" i="67" s="1"/>
  <c r="AD109" i="67" s="1"/>
  <c r="AC108" i="67"/>
  <c r="AB108" i="67"/>
  <c r="AA108" i="67"/>
  <c r="Y108" i="67"/>
  <c r="X108" i="67"/>
  <c r="W108" i="67"/>
  <c r="AC107" i="67"/>
  <c r="AB107" i="67"/>
  <c r="AA107" i="67"/>
  <c r="Y107" i="67"/>
  <c r="X107" i="67"/>
  <c r="W107" i="67"/>
  <c r="Z107" i="67" s="1"/>
  <c r="AD107" i="67" s="1"/>
  <c r="AC106" i="67"/>
  <c r="AB106" i="67"/>
  <c r="AA106" i="67"/>
  <c r="Y106" i="67"/>
  <c r="X106" i="67"/>
  <c r="W106" i="67"/>
  <c r="Z106" i="67" s="1"/>
  <c r="AD106" i="67" s="1"/>
  <c r="AC105" i="67"/>
  <c r="AB105" i="67"/>
  <c r="AA105" i="67"/>
  <c r="Y105" i="67"/>
  <c r="X105" i="67"/>
  <c r="W105" i="67"/>
  <c r="Z105" i="67" s="1"/>
  <c r="AD105" i="67" s="1"/>
  <c r="AC104" i="67"/>
  <c r="AB104" i="67"/>
  <c r="AA104" i="67"/>
  <c r="Y104" i="67"/>
  <c r="X104" i="67"/>
  <c r="W104" i="67"/>
  <c r="AC103" i="67"/>
  <c r="AB103" i="67"/>
  <c r="AA103" i="67"/>
  <c r="Y103" i="67"/>
  <c r="X103" i="67"/>
  <c r="W103" i="67"/>
  <c r="Z103" i="67" s="1"/>
  <c r="AD103" i="67" s="1"/>
  <c r="AC102" i="67"/>
  <c r="AB102" i="67"/>
  <c r="AA102" i="67"/>
  <c r="Y102" i="67"/>
  <c r="X102" i="67"/>
  <c r="W102" i="67"/>
  <c r="Z102" i="67" s="1"/>
  <c r="AD102" i="67" s="1"/>
  <c r="AC101" i="67"/>
  <c r="AB101" i="67"/>
  <c r="AA101" i="67"/>
  <c r="Y101" i="67"/>
  <c r="X101" i="67"/>
  <c r="W101" i="67"/>
  <c r="Z101" i="67" s="1"/>
  <c r="AD101" i="67" s="1"/>
  <c r="AC100" i="67"/>
  <c r="AB100" i="67"/>
  <c r="AA100" i="67"/>
  <c r="Y100" i="67"/>
  <c r="X100" i="67"/>
  <c r="W100" i="67"/>
  <c r="AC99" i="67"/>
  <c r="AB99" i="67"/>
  <c r="AA99" i="67"/>
  <c r="Y99" i="67"/>
  <c r="X99" i="67"/>
  <c r="W99" i="67"/>
  <c r="Z99" i="67" s="1"/>
  <c r="AD99" i="67" s="1"/>
  <c r="AC98" i="67"/>
  <c r="AB98" i="67"/>
  <c r="AA98" i="67"/>
  <c r="Y98" i="67"/>
  <c r="X98" i="67"/>
  <c r="W98" i="67"/>
  <c r="Z98" i="67" s="1"/>
  <c r="AD98" i="67" s="1"/>
  <c r="AC97" i="67"/>
  <c r="AD97" i="67" s="1"/>
  <c r="AB97" i="67"/>
  <c r="AA97" i="67"/>
  <c r="AC96" i="67"/>
  <c r="AB96" i="67"/>
  <c r="AA96" i="67"/>
  <c r="Y96" i="67"/>
  <c r="X96" i="67"/>
  <c r="W96" i="67"/>
  <c r="AC95" i="67"/>
  <c r="AB95" i="67"/>
  <c r="AA95" i="67"/>
  <c r="Y95" i="67"/>
  <c r="X95" i="67"/>
  <c r="W95" i="67"/>
  <c r="Y94" i="67"/>
  <c r="X94" i="67"/>
  <c r="W94" i="67"/>
  <c r="Z94" i="67" s="1"/>
  <c r="A92" i="67"/>
  <c r="AC91" i="67"/>
  <c r="AB91" i="67"/>
  <c r="AA91" i="67"/>
  <c r="Y91" i="67"/>
  <c r="X91" i="67"/>
  <c r="W91" i="67"/>
  <c r="Z91" i="67" s="1"/>
  <c r="B91" i="67"/>
  <c r="A91" i="67"/>
  <c r="AC90" i="67"/>
  <c r="AB90" i="67"/>
  <c r="AA90" i="67"/>
  <c r="Z90" i="67"/>
  <c r="B90" i="67"/>
  <c r="A90" i="67"/>
  <c r="AC89" i="67"/>
  <c r="AB89" i="67"/>
  <c r="AA89" i="67"/>
  <c r="Z89" i="67"/>
  <c r="B89" i="67"/>
  <c r="A89" i="67"/>
  <c r="AC88" i="67"/>
  <c r="AB88" i="67"/>
  <c r="AA88" i="67"/>
  <c r="Z88" i="67"/>
  <c r="B88" i="67"/>
  <c r="A88" i="67"/>
  <c r="AC87" i="67"/>
  <c r="AB87" i="67"/>
  <c r="AA87" i="67"/>
  <c r="Z87" i="67"/>
  <c r="B87" i="67"/>
  <c r="A87" i="67"/>
  <c r="AC86" i="67"/>
  <c r="AB86" i="67"/>
  <c r="AA86" i="67"/>
  <c r="Z86" i="67"/>
  <c r="B86" i="67"/>
  <c r="A86" i="67"/>
  <c r="AC85" i="67"/>
  <c r="AB85" i="67"/>
  <c r="AA85" i="67"/>
  <c r="Z85" i="67"/>
  <c r="B85" i="67"/>
  <c r="A85" i="67"/>
  <c r="AC84" i="67"/>
  <c r="AB84" i="67"/>
  <c r="AA84" i="67"/>
  <c r="Z84" i="67"/>
  <c r="B84" i="67"/>
  <c r="A84" i="67"/>
  <c r="AC83" i="67"/>
  <c r="AB83" i="67"/>
  <c r="AA83" i="67"/>
  <c r="Z83" i="67"/>
  <c r="B83" i="67"/>
  <c r="A83" i="67"/>
  <c r="AC82" i="67"/>
  <c r="AB82" i="67"/>
  <c r="AA82" i="67"/>
  <c r="Z82" i="67"/>
  <c r="B82" i="67"/>
  <c r="A82" i="67"/>
  <c r="AC81" i="67"/>
  <c r="AB81" i="67"/>
  <c r="AA81" i="67"/>
  <c r="Z81" i="67"/>
  <c r="B81" i="67"/>
  <c r="A81" i="67"/>
  <c r="AC80" i="67"/>
  <c r="AB80" i="67"/>
  <c r="AA80" i="67"/>
  <c r="Z80" i="67"/>
  <c r="B80" i="67"/>
  <c r="A80" i="67"/>
  <c r="AC79" i="67"/>
  <c r="AB79" i="67"/>
  <c r="AA79" i="67"/>
  <c r="Z79" i="67"/>
  <c r="B79" i="67"/>
  <c r="A79" i="67"/>
  <c r="AC78" i="67"/>
  <c r="AB78" i="67"/>
  <c r="AA78" i="67"/>
  <c r="Z78" i="67"/>
  <c r="B78" i="67"/>
  <c r="A78" i="67"/>
  <c r="AC77" i="67"/>
  <c r="AB77" i="67"/>
  <c r="AA77" i="67"/>
  <c r="Z77" i="67"/>
  <c r="B77" i="67"/>
  <c r="A77" i="67"/>
  <c r="AC76" i="67"/>
  <c r="AB76" i="67"/>
  <c r="AA76" i="67"/>
  <c r="Z76" i="67"/>
  <c r="B76" i="67"/>
  <c r="A76" i="67"/>
  <c r="AC75" i="67"/>
  <c r="AB75" i="67"/>
  <c r="AA75" i="67"/>
  <c r="Z75" i="67"/>
  <c r="B75" i="67"/>
  <c r="A75" i="67"/>
  <c r="AC74" i="67"/>
  <c r="AB74" i="67"/>
  <c r="AA74" i="67"/>
  <c r="Z74" i="67"/>
  <c r="B74" i="67"/>
  <c r="A74" i="67"/>
  <c r="AC73" i="67"/>
  <c r="AB73" i="67"/>
  <c r="AA73" i="67"/>
  <c r="Z73" i="67"/>
  <c r="B73" i="67"/>
  <c r="A73" i="67"/>
  <c r="A72" i="67"/>
  <c r="AC71" i="67"/>
  <c r="AB71" i="67"/>
  <c r="AA71" i="67"/>
  <c r="Y71" i="67"/>
  <c r="X71" i="67"/>
  <c r="W71" i="67"/>
  <c r="Z71" i="67" s="1"/>
  <c r="B71" i="67"/>
  <c r="A71" i="67"/>
  <c r="AC70" i="67"/>
  <c r="AB70" i="67"/>
  <c r="AA70" i="67"/>
  <c r="Z70" i="67"/>
  <c r="B70" i="67"/>
  <c r="A70" i="67"/>
  <c r="AC69" i="67"/>
  <c r="AB69" i="67"/>
  <c r="AA69" i="67"/>
  <c r="Z69" i="67"/>
  <c r="B69" i="67"/>
  <c r="A69" i="67"/>
  <c r="AC68" i="67"/>
  <c r="AB68" i="67"/>
  <c r="AA68" i="67"/>
  <c r="Z68" i="67"/>
  <c r="B68" i="67"/>
  <c r="A68" i="67"/>
  <c r="AC67" i="67"/>
  <c r="AB67" i="67"/>
  <c r="AA67" i="67"/>
  <c r="Z67" i="67"/>
  <c r="B67" i="67"/>
  <c r="A67" i="67"/>
  <c r="AC66" i="67"/>
  <c r="AB66" i="67"/>
  <c r="AA66" i="67"/>
  <c r="Z66" i="67"/>
  <c r="B66" i="67"/>
  <c r="A66" i="67"/>
  <c r="AC65" i="67"/>
  <c r="AB65" i="67"/>
  <c r="AA65" i="67"/>
  <c r="Z65" i="67"/>
  <c r="B65" i="67"/>
  <c r="A65" i="67"/>
  <c r="AC64" i="67"/>
  <c r="AB64" i="67"/>
  <c r="AA64" i="67"/>
  <c r="Z64" i="67"/>
  <c r="B64" i="67"/>
  <c r="A64" i="67"/>
  <c r="AC63" i="67"/>
  <c r="AB63" i="67"/>
  <c r="AA63" i="67"/>
  <c r="Z63" i="67"/>
  <c r="B63" i="67"/>
  <c r="A63" i="67"/>
  <c r="AC62" i="67"/>
  <c r="AB62" i="67"/>
  <c r="AA62" i="67"/>
  <c r="Z62" i="67"/>
  <c r="B62" i="67"/>
  <c r="A62" i="67"/>
  <c r="AC61" i="67"/>
  <c r="AB61" i="67"/>
  <c r="AA61" i="67"/>
  <c r="Z61" i="67"/>
  <c r="B61" i="67"/>
  <c r="A61" i="67"/>
  <c r="AC60" i="67"/>
  <c r="AB60" i="67"/>
  <c r="AA60" i="67"/>
  <c r="Z60" i="67"/>
  <c r="B60" i="67"/>
  <c r="A60" i="67"/>
  <c r="AC59" i="67"/>
  <c r="AB59" i="67"/>
  <c r="AA59" i="67"/>
  <c r="Z59" i="67"/>
  <c r="B59" i="67"/>
  <c r="A59" i="67"/>
  <c r="AC58" i="67"/>
  <c r="AB58" i="67"/>
  <c r="AA58" i="67"/>
  <c r="Z58" i="67"/>
  <c r="B58" i="67"/>
  <c r="A58" i="67"/>
  <c r="A57" i="67"/>
  <c r="AC56" i="67"/>
  <c r="AB56" i="67"/>
  <c r="AA56" i="67"/>
  <c r="Y56" i="67"/>
  <c r="X56" i="67"/>
  <c r="W56" i="67"/>
  <c r="Z56" i="67" s="1"/>
  <c r="B56" i="67"/>
  <c r="A56" i="67"/>
  <c r="AC55" i="67"/>
  <c r="AB55" i="67"/>
  <c r="AA55" i="67"/>
  <c r="Z55" i="67"/>
  <c r="B55" i="67"/>
  <c r="A55" i="67"/>
  <c r="AC54" i="67"/>
  <c r="AB54" i="67"/>
  <c r="AA54" i="67"/>
  <c r="Z54" i="67"/>
  <c r="B54" i="67"/>
  <c r="A54" i="67"/>
  <c r="AC53" i="67"/>
  <c r="AB53" i="67"/>
  <c r="AA53" i="67"/>
  <c r="Z53" i="67"/>
  <c r="B53" i="67"/>
  <c r="A53" i="67"/>
  <c r="AC52" i="67"/>
  <c r="AB52" i="67"/>
  <c r="AA52" i="67"/>
  <c r="Z52" i="67"/>
  <c r="B52" i="67"/>
  <c r="A52" i="67"/>
  <c r="AC51" i="67"/>
  <c r="AB51" i="67"/>
  <c r="AA51" i="67"/>
  <c r="Z51" i="67"/>
  <c r="B51" i="67"/>
  <c r="A51" i="67"/>
  <c r="AC50" i="67"/>
  <c r="AB50" i="67"/>
  <c r="AA50" i="67"/>
  <c r="Z50" i="67"/>
  <c r="B50" i="67"/>
  <c r="A50" i="67"/>
  <c r="AC49" i="67"/>
  <c r="AB49" i="67"/>
  <c r="AA49" i="67"/>
  <c r="Z49" i="67"/>
  <c r="B49" i="67"/>
  <c r="A49" i="67"/>
  <c r="AC48" i="67"/>
  <c r="AB48" i="67"/>
  <c r="AA48" i="67"/>
  <c r="Z48" i="67"/>
  <c r="B48" i="67"/>
  <c r="A48" i="67"/>
  <c r="AC47" i="67"/>
  <c r="AB47" i="67"/>
  <c r="AA47" i="67"/>
  <c r="Z47" i="67"/>
  <c r="B47" i="67"/>
  <c r="A47" i="67"/>
  <c r="AC46" i="67"/>
  <c r="AB46" i="67"/>
  <c r="AA46" i="67"/>
  <c r="Z46" i="67"/>
  <c r="B46" i="67"/>
  <c r="A46" i="67"/>
  <c r="AC45" i="67"/>
  <c r="AB45" i="67"/>
  <c r="AA45" i="67"/>
  <c r="Z45" i="67"/>
  <c r="B45" i="67"/>
  <c r="A45" i="67"/>
  <c r="AC44" i="67"/>
  <c r="AB44" i="67"/>
  <c r="AA44" i="67"/>
  <c r="Z44" i="67"/>
  <c r="B44" i="67"/>
  <c r="A44" i="67"/>
  <c r="AC43" i="67"/>
  <c r="AB43" i="67"/>
  <c r="AA43" i="67"/>
  <c r="Z43" i="67"/>
  <c r="B43" i="67"/>
  <c r="A43" i="67"/>
  <c r="AC42" i="67"/>
  <c r="AB42" i="67"/>
  <c r="AA42" i="67"/>
  <c r="Z42" i="67"/>
  <c r="B42" i="67"/>
  <c r="A42" i="67"/>
  <c r="AC41" i="67"/>
  <c r="AB41" i="67"/>
  <c r="AA41" i="67"/>
  <c r="Z41" i="67"/>
  <c r="B41" i="67"/>
  <c r="A41" i="67"/>
  <c r="AC40" i="67"/>
  <c r="AB40" i="67"/>
  <c r="AA40" i="67"/>
  <c r="Z40" i="67"/>
  <c r="B40" i="67"/>
  <c r="A40" i="67"/>
  <c r="AC39" i="67"/>
  <c r="AB39" i="67"/>
  <c r="AA39" i="67"/>
  <c r="Z39" i="67"/>
  <c r="B39" i="67"/>
  <c r="A39" i="67"/>
  <c r="AC38" i="67"/>
  <c r="AB38" i="67"/>
  <c r="AA38" i="67"/>
  <c r="Z38" i="67"/>
  <c r="B38" i="67"/>
  <c r="A38" i="67"/>
  <c r="AC37" i="67"/>
  <c r="AB37" i="67"/>
  <c r="AA37" i="67"/>
  <c r="Z37" i="67"/>
  <c r="B37" i="67"/>
  <c r="A37" i="67"/>
  <c r="AC36" i="67"/>
  <c r="AB36" i="67"/>
  <c r="AA36" i="67"/>
  <c r="Z36" i="67"/>
  <c r="B36" i="67"/>
  <c r="A36" i="67"/>
  <c r="AC35" i="67"/>
  <c r="AB35" i="67"/>
  <c r="AA35" i="67"/>
  <c r="Z35" i="67"/>
  <c r="B35" i="67"/>
  <c r="A35" i="67"/>
  <c r="AC34" i="67"/>
  <c r="AB34" i="67"/>
  <c r="AA34" i="67"/>
  <c r="Z34" i="67"/>
  <c r="B34" i="67"/>
  <c r="A34" i="67"/>
  <c r="AC33" i="67"/>
  <c r="AB33" i="67"/>
  <c r="AA33" i="67"/>
  <c r="Z33" i="67"/>
  <c r="B33" i="67"/>
  <c r="A33" i="67"/>
  <c r="AC32" i="67"/>
  <c r="AB32" i="67"/>
  <c r="AA32" i="67"/>
  <c r="Z32" i="67"/>
  <c r="B32" i="67"/>
  <c r="A32" i="67"/>
  <c r="AC31" i="67"/>
  <c r="AB31" i="67"/>
  <c r="AA31" i="67"/>
  <c r="Z31" i="67"/>
  <c r="B31" i="67"/>
  <c r="A31" i="67"/>
  <c r="AC30" i="67"/>
  <c r="AB30" i="67"/>
  <c r="AA30" i="67"/>
  <c r="Z30" i="67"/>
  <c r="B30" i="67"/>
  <c r="A30" i="67"/>
  <c r="AC29" i="67"/>
  <c r="AB29" i="67"/>
  <c r="AA29" i="67"/>
  <c r="Z29" i="67"/>
  <c r="B29" i="67"/>
  <c r="A29" i="67"/>
  <c r="AC28" i="67"/>
  <c r="AB28" i="67"/>
  <c r="AA28" i="67"/>
  <c r="Z28" i="67"/>
  <c r="B28" i="67"/>
  <c r="A28" i="67"/>
  <c r="AC27" i="67"/>
  <c r="AB27" i="67"/>
  <c r="AA27" i="67"/>
  <c r="Z27" i="67"/>
  <c r="B27" i="67"/>
  <c r="A27" i="67"/>
  <c r="AC26" i="67"/>
  <c r="AB26" i="67"/>
  <c r="AA26" i="67"/>
  <c r="Z26" i="67"/>
  <c r="B26" i="67"/>
  <c r="A26" i="67"/>
  <c r="AC25" i="67"/>
  <c r="AB25" i="67"/>
  <c r="AA25" i="67"/>
  <c r="Z25" i="67"/>
  <c r="B25" i="67"/>
  <c r="A25" i="67"/>
  <c r="AC24" i="67"/>
  <c r="AB24" i="67"/>
  <c r="AA24" i="67"/>
  <c r="Z24" i="67"/>
  <c r="B24" i="67"/>
  <c r="A24" i="67"/>
  <c r="AC23" i="67"/>
  <c r="AB23" i="67"/>
  <c r="AA23" i="67"/>
  <c r="Z23" i="67"/>
  <c r="B23" i="67"/>
  <c r="A23" i="67"/>
  <c r="AC22" i="67"/>
  <c r="AB22" i="67"/>
  <c r="AA22" i="67"/>
  <c r="Z22" i="67"/>
  <c r="B22" i="67"/>
  <c r="A22" i="67"/>
  <c r="AC21" i="67"/>
  <c r="AB21" i="67"/>
  <c r="AA21" i="67"/>
  <c r="Z21" i="67"/>
  <c r="B21" i="67"/>
  <c r="A21" i="67"/>
  <c r="AC20" i="67"/>
  <c r="AB20" i="67"/>
  <c r="AA20" i="67"/>
  <c r="Z20" i="67"/>
  <c r="B20" i="67"/>
  <c r="A20" i="67"/>
  <c r="AC19" i="67"/>
  <c r="AB19" i="67"/>
  <c r="AA19" i="67"/>
  <c r="Z19" i="67"/>
  <c r="B19" i="67"/>
  <c r="A19" i="67"/>
  <c r="AC18" i="67"/>
  <c r="AB18" i="67"/>
  <c r="AA18" i="67"/>
  <c r="Z18" i="67"/>
  <c r="B18" i="67"/>
  <c r="A18" i="67"/>
  <c r="AC17" i="67"/>
  <c r="AB17" i="67"/>
  <c r="AA17" i="67"/>
  <c r="Z17" i="67"/>
  <c r="B17" i="67"/>
  <c r="A17" i="67"/>
  <c r="AC16" i="67"/>
  <c r="AB16" i="67"/>
  <c r="AA16" i="67"/>
  <c r="Z16" i="67"/>
  <c r="B16" i="67"/>
  <c r="A16" i="67"/>
  <c r="AC15" i="67"/>
  <c r="AB15" i="67"/>
  <c r="AA15" i="67"/>
  <c r="Z15" i="67"/>
  <c r="B15" i="67"/>
  <c r="A15" i="67"/>
  <c r="AC14" i="67"/>
  <c r="AB14" i="67"/>
  <c r="AA14" i="67"/>
  <c r="Z14" i="67"/>
  <c r="B14" i="67"/>
  <c r="A14" i="67"/>
  <c r="AC13" i="67"/>
  <c r="AB13" i="67"/>
  <c r="AA13" i="67"/>
  <c r="Z13" i="67"/>
  <c r="B13" i="67"/>
  <c r="A13" i="67"/>
  <c r="AC12" i="67"/>
  <c r="AB12" i="67"/>
  <c r="AA12" i="67"/>
  <c r="Z12" i="67"/>
  <c r="B12" i="67"/>
  <c r="A12" i="67"/>
  <c r="AC11" i="67"/>
  <c r="AB11" i="67"/>
  <c r="AA11" i="67"/>
  <c r="Z11" i="67"/>
  <c r="B11" i="67"/>
  <c r="A11" i="67"/>
  <c r="AC10" i="67"/>
  <c r="AB10" i="67"/>
  <c r="AA10" i="67"/>
  <c r="Z10" i="67"/>
  <c r="B10" i="67"/>
  <c r="A10" i="67"/>
  <c r="AC9" i="67"/>
  <c r="AB9" i="67"/>
  <c r="AA9" i="67"/>
  <c r="Z9" i="67"/>
  <c r="B9" i="67"/>
  <c r="A9" i="67"/>
  <c r="AC8" i="67"/>
  <c r="AB8" i="67"/>
  <c r="AA8" i="67"/>
  <c r="Z8" i="67"/>
  <c r="B8" i="67"/>
  <c r="A8" i="67"/>
  <c r="AC7" i="67"/>
  <c r="AB7" i="67"/>
  <c r="AA7" i="67"/>
  <c r="Z7" i="67"/>
  <c r="B7" i="67"/>
  <c r="A7" i="67"/>
  <c r="X5" i="67"/>
  <c r="W5" i="67"/>
  <c r="AD4" i="67"/>
  <c r="S177" i="51"/>
  <c r="N177" i="51"/>
  <c r="F177" i="51"/>
  <c r="D177" i="51"/>
  <c r="C177" i="51"/>
  <c r="AC176" i="51"/>
  <c r="AB176" i="51"/>
  <c r="AA176" i="51"/>
  <c r="Y176" i="51"/>
  <c r="X176" i="51"/>
  <c r="W176" i="51"/>
  <c r="AC175" i="51"/>
  <c r="AD175" i="51" s="1"/>
  <c r="AB175" i="51"/>
  <c r="AA175" i="51"/>
  <c r="Y175" i="51"/>
  <c r="X175" i="51"/>
  <c r="W175" i="51"/>
  <c r="AD174" i="51"/>
  <c r="AC174" i="51"/>
  <c r="AB174" i="51"/>
  <c r="AA174" i="51"/>
  <c r="Y174" i="51"/>
  <c r="X174" i="51"/>
  <c r="W174" i="51"/>
  <c r="AC173" i="51"/>
  <c r="AD173" i="51" s="1"/>
  <c r="AB173" i="51"/>
  <c r="AA173" i="51"/>
  <c r="Y173" i="51"/>
  <c r="X173" i="51"/>
  <c r="W173" i="51"/>
  <c r="AC172" i="51"/>
  <c r="AD172" i="51" s="1"/>
  <c r="AB172" i="51"/>
  <c r="AA172" i="51"/>
  <c r="Y172" i="51"/>
  <c r="X172" i="51"/>
  <c r="W172" i="51"/>
  <c r="AC171" i="51"/>
  <c r="AD171" i="51" s="1"/>
  <c r="AB171" i="51"/>
  <c r="AA171" i="51"/>
  <c r="Y171" i="51"/>
  <c r="X171" i="51"/>
  <c r="W171" i="51"/>
  <c r="AC170" i="51"/>
  <c r="AD170" i="51" s="1"/>
  <c r="AB170" i="51"/>
  <c r="AA170" i="51"/>
  <c r="Y170" i="51"/>
  <c r="X170" i="51"/>
  <c r="W170" i="51"/>
  <c r="AC169" i="51"/>
  <c r="AD169" i="51" s="1"/>
  <c r="AB169" i="51"/>
  <c r="AA169" i="51"/>
  <c r="Y169" i="51"/>
  <c r="X169" i="51"/>
  <c r="W169" i="51"/>
  <c r="AC168" i="51"/>
  <c r="AB168" i="51"/>
  <c r="AA168" i="51"/>
  <c r="Y168" i="51"/>
  <c r="X168" i="51"/>
  <c r="W168" i="51"/>
  <c r="AC167" i="51"/>
  <c r="AB167" i="51"/>
  <c r="AA167" i="51"/>
  <c r="Y167" i="51"/>
  <c r="X167" i="51"/>
  <c r="W167" i="51"/>
  <c r="AC166" i="51"/>
  <c r="AB166" i="51"/>
  <c r="AA166" i="51"/>
  <c r="Y166" i="51"/>
  <c r="X166" i="51"/>
  <c r="W166" i="51"/>
  <c r="AC165" i="51"/>
  <c r="AD165" i="51" s="1"/>
  <c r="AB165" i="51"/>
  <c r="AA165" i="51"/>
  <c r="Y165" i="51"/>
  <c r="X165" i="51"/>
  <c r="W165" i="51"/>
  <c r="AC164" i="51"/>
  <c r="AD164" i="51" s="1"/>
  <c r="AB164" i="51"/>
  <c r="AA164" i="51"/>
  <c r="Y164" i="51"/>
  <c r="X164" i="51"/>
  <c r="W164" i="51"/>
  <c r="AC163" i="51"/>
  <c r="AD163" i="51" s="1"/>
  <c r="AB163" i="51"/>
  <c r="AA163" i="51"/>
  <c r="Y163" i="51"/>
  <c r="X163" i="51"/>
  <c r="W163" i="51"/>
  <c r="AC162" i="51"/>
  <c r="AD162" i="51" s="1"/>
  <c r="AB162" i="51"/>
  <c r="AA162" i="51"/>
  <c r="Y162" i="51"/>
  <c r="X162" i="51"/>
  <c r="W162" i="51"/>
  <c r="AC161" i="51"/>
  <c r="AD161" i="51" s="1"/>
  <c r="AB161" i="51"/>
  <c r="AA161" i="51"/>
  <c r="Y161" i="51"/>
  <c r="X161" i="51"/>
  <c r="W161" i="51"/>
  <c r="AC160" i="51"/>
  <c r="AB160" i="51"/>
  <c r="AA160" i="51"/>
  <c r="Y160" i="51"/>
  <c r="X160" i="51"/>
  <c r="W160" i="51"/>
  <c r="AC159" i="51"/>
  <c r="AB159" i="51"/>
  <c r="AA159" i="51"/>
  <c r="Y159" i="51"/>
  <c r="X159" i="51"/>
  <c r="W159" i="51"/>
  <c r="AC158" i="51"/>
  <c r="AB158" i="51"/>
  <c r="AA158" i="51"/>
  <c r="Y158" i="51"/>
  <c r="X158" i="51"/>
  <c r="W158" i="51"/>
  <c r="AD157" i="51"/>
  <c r="AC157" i="51"/>
  <c r="AB157" i="51"/>
  <c r="AA157" i="51"/>
  <c r="Y157" i="51"/>
  <c r="X157" i="51"/>
  <c r="W157" i="51"/>
  <c r="AC156" i="51"/>
  <c r="AB156" i="51"/>
  <c r="AA156" i="51"/>
  <c r="Y156" i="51"/>
  <c r="X156" i="51"/>
  <c r="W156" i="51"/>
  <c r="Z156" i="51" s="1"/>
  <c r="AC155" i="51"/>
  <c r="AB155" i="51"/>
  <c r="AA155" i="51"/>
  <c r="Y155" i="51"/>
  <c r="X155" i="51"/>
  <c r="W155" i="51"/>
  <c r="Z155" i="51" s="1"/>
  <c r="AC154" i="51"/>
  <c r="AB154" i="51"/>
  <c r="AA154" i="51"/>
  <c r="Y154" i="51"/>
  <c r="X154" i="51"/>
  <c r="W154" i="51"/>
  <c r="AC153" i="51"/>
  <c r="AB153" i="51"/>
  <c r="AA153" i="51"/>
  <c r="Y153" i="51"/>
  <c r="X153" i="51"/>
  <c r="W153" i="51"/>
  <c r="Z153" i="51" s="1"/>
  <c r="AD153" i="51" s="1"/>
  <c r="AC152" i="51"/>
  <c r="AB152" i="51"/>
  <c r="AA152" i="51"/>
  <c r="Y152" i="51"/>
  <c r="X152" i="51"/>
  <c r="W152" i="51"/>
  <c r="Z152" i="51" s="1"/>
  <c r="AC151" i="51"/>
  <c r="AB151" i="51"/>
  <c r="AA151" i="51"/>
  <c r="Y151" i="51"/>
  <c r="X151" i="51"/>
  <c r="W151" i="51"/>
  <c r="AC150" i="51"/>
  <c r="AB150" i="51"/>
  <c r="AA150" i="51"/>
  <c r="Y150" i="51"/>
  <c r="X150" i="51"/>
  <c r="W150" i="51"/>
  <c r="AC149" i="51"/>
  <c r="AB149" i="51"/>
  <c r="AA149" i="51"/>
  <c r="Y149" i="51"/>
  <c r="X149" i="51"/>
  <c r="W149" i="51"/>
  <c r="Z149" i="51" s="1"/>
  <c r="AD149" i="51" s="1"/>
  <c r="AC148" i="51"/>
  <c r="AB148" i="51"/>
  <c r="AA148" i="51"/>
  <c r="Y148" i="51"/>
  <c r="X148" i="51"/>
  <c r="W148" i="51"/>
  <c r="Z148" i="51" s="1"/>
  <c r="AC147" i="51"/>
  <c r="AB147" i="51"/>
  <c r="AA147" i="51"/>
  <c r="Y147" i="51"/>
  <c r="X147" i="51"/>
  <c r="W147" i="51"/>
  <c r="AC146" i="51"/>
  <c r="AB146" i="51"/>
  <c r="AA146" i="51"/>
  <c r="Y146" i="51"/>
  <c r="X146" i="51"/>
  <c r="W146" i="51"/>
  <c r="AC145" i="51"/>
  <c r="AB145" i="51"/>
  <c r="AA145" i="51"/>
  <c r="Y145" i="51"/>
  <c r="X145" i="51"/>
  <c r="W145" i="51"/>
  <c r="Z145" i="51" s="1"/>
  <c r="AD145" i="51" s="1"/>
  <c r="AC144" i="51"/>
  <c r="AB144" i="51"/>
  <c r="AA144" i="51"/>
  <c r="Y144" i="51"/>
  <c r="X144" i="51"/>
  <c r="W144" i="51"/>
  <c r="Z144" i="51" s="1"/>
  <c r="AC143" i="51"/>
  <c r="AB143" i="51"/>
  <c r="AA143" i="51"/>
  <c r="Y143" i="51"/>
  <c r="X143" i="51"/>
  <c r="W143" i="51"/>
  <c r="Z143" i="51" s="1"/>
  <c r="AC142" i="51"/>
  <c r="AB142" i="51"/>
  <c r="AA142" i="51"/>
  <c r="Y142" i="51"/>
  <c r="X142" i="51"/>
  <c r="W142" i="51"/>
  <c r="AC141" i="51"/>
  <c r="AB141" i="51"/>
  <c r="AA141" i="51"/>
  <c r="Y141" i="51"/>
  <c r="X141" i="51"/>
  <c r="W141" i="51"/>
  <c r="Z141" i="51" s="1"/>
  <c r="AD141" i="51" s="1"/>
  <c r="AC140" i="51"/>
  <c r="AB140" i="51"/>
  <c r="AA140" i="51"/>
  <c r="Y140" i="51"/>
  <c r="X140" i="51"/>
  <c r="W140" i="51"/>
  <c r="Z140" i="51" s="1"/>
  <c r="AC139" i="51"/>
  <c r="AB139" i="51"/>
  <c r="AA139" i="51"/>
  <c r="Y139" i="51"/>
  <c r="X139" i="51"/>
  <c r="W139" i="51"/>
  <c r="Z139" i="51" s="1"/>
  <c r="AC138" i="51"/>
  <c r="AB138" i="51"/>
  <c r="AA138" i="51"/>
  <c r="Y138" i="51"/>
  <c r="X138" i="51"/>
  <c r="W138" i="51"/>
  <c r="AC137" i="51"/>
  <c r="AB137" i="51"/>
  <c r="AA137" i="51"/>
  <c r="Y137" i="51"/>
  <c r="X137" i="51"/>
  <c r="W137" i="51"/>
  <c r="Z137" i="51" s="1"/>
  <c r="AD137" i="51" s="1"/>
  <c r="AC136" i="51"/>
  <c r="AB136" i="51"/>
  <c r="AA136" i="51"/>
  <c r="Y136" i="51"/>
  <c r="X136" i="51"/>
  <c r="W136" i="51"/>
  <c r="Z136" i="51" s="1"/>
  <c r="AC135" i="51"/>
  <c r="AB135" i="51"/>
  <c r="AA135" i="51"/>
  <c r="Y135" i="51"/>
  <c r="X135" i="51"/>
  <c r="W135" i="51"/>
  <c r="Z135" i="51" s="1"/>
  <c r="AC134" i="51"/>
  <c r="AB134" i="51"/>
  <c r="AA134" i="51"/>
  <c r="Y134" i="51"/>
  <c r="X134" i="51"/>
  <c r="W134" i="51"/>
  <c r="AC133" i="51"/>
  <c r="AB133" i="51"/>
  <c r="AA133" i="51"/>
  <c r="Y133" i="51"/>
  <c r="X133" i="51"/>
  <c r="W133" i="51"/>
  <c r="Z133" i="51" s="1"/>
  <c r="AD133" i="51" s="1"/>
  <c r="AC132" i="51"/>
  <c r="AB132" i="51"/>
  <c r="AA132" i="51"/>
  <c r="Y132" i="51"/>
  <c r="X132" i="51"/>
  <c r="W132" i="51"/>
  <c r="Z132" i="51" s="1"/>
  <c r="AC131" i="51"/>
  <c r="AB131" i="51"/>
  <c r="AA131" i="51"/>
  <c r="Y131" i="51"/>
  <c r="X131" i="51"/>
  <c r="W131" i="51"/>
  <c r="Z131" i="51" s="1"/>
  <c r="AC130" i="51"/>
  <c r="AB130" i="51"/>
  <c r="AA130" i="51"/>
  <c r="Y130" i="51"/>
  <c r="X130" i="51"/>
  <c r="W130" i="51"/>
  <c r="AC129" i="51"/>
  <c r="AB129" i="51"/>
  <c r="AA129" i="51"/>
  <c r="Y129" i="51"/>
  <c r="X129" i="51"/>
  <c r="W129" i="51"/>
  <c r="Z129" i="51" s="1"/>
  <c r="AD129" i="51" s="1"/>
  <c r="AC128" i="51"/>
  <c r="AB128" i="51"/>
  <c r="AA128" i="51"/>
  <c r="Y128" i="51"/>
  <c r="X128" i="51"/>
  <c r="W128" i="51"/>
  <c r="Z128" i="51" s="1"/>
  <c r="AC127" i="51"/>
  <c r="AB127" i="51"/>
  <c r="AA127" i="51"/>
  <c r="Y127" i="51"/>
  <c r="X127" i="51"/>
  <c r="W127" i="51"/>
  <c r="Z127" i="51" s="1"/>
  <c r="AC126" i="51"/>
  <c r="AB126" i="51"/>
  <c r="AA126" i="51"/>
  <c r="Y126" i="51"/>
  <c r="X126" i="51"/>
  <c r="W126" i="51"/>
  <c r="AC125" i="51"/>
  <c r="AB125" i="51"/>
  <c r="AA125" i="51"/>
  <c r="Y125" i="51"/>
  <c r="X125" i="51"/>
  <c r="W125" i="51"/>
  <c r="Z125" i="51" s="1"/>
  <c r="AD125" i="51" s="1"/>
  <c r="AC124" i="51"/>
  <c r="AB124" i="51"/>
  <c r="AA124" i="51"/>
  <c r="Y124" i="51"/>
  <c r="X124" i="51"/>
  <c r="W124" i="51"/>
  <c r="Z124" i="51" s="1"/>
  <c r="AC123" i="51"/>
  <c r="AB123" i="51"/>
  <c r="AA123" i="51"/>
  <c r="Y123" i="51"/>
  <c r="X123" i="51"/>
  <c r="W123" i="51"/>
  <c r="Z123" i="51" s="1"/>
  <c r="AC122" i="51"/>
  <c r="AB122" i="51"/>
  <c r="AA122" i="51"/>
  <c r="Y122" i="51"/>
  <c r="X122" i="51"/>
  <c r="W122" i="51"/>
  <c r="AC121" i="51"/>
  <c r="AB121" i="51"/>
  <c r="AA121" i="51"/>
  <c r="Y121" i="51"/>
  <c r="X121" i="51"/>
  <c r="W121" i="51"/>
  <c r="Z121" i="51" s="1"/>
  <c r="AD121" i="51" s="1"/>
  <c r="AC120" i="51"/>
  <c r="AB120" i="51"/>
  <c r="AA120" i="51"/>
  <c r="Y120" i="51"/>
  <c r="X120" i="51"/>
  <c r="W120" i="51"/>
  <c r="Z120" i="51" s="1"/>
  <c r="AC119" i="51"/>
  <c r="AB119" i="51"/>
  <c r="AA119" i="51"/>
  <c r="Y119" i="51"/>
  <c r="X119" i="51"/>
  <c r="W119" i="51"/>
  <c r="Z119" i="51" s="1"/>
  <c r="AC118" i="51"/>
  <c r="AB118" i="51"/>
  <c r="AA118" i="51"/>
  <c r="Y118" i="51"/>
  <c r="X118" i="51"/>
  <c r="W118" i="51"/>
  <c r="AC117" i="51"/>
  <c r="AB117" i="51"/>
  <c r="AA117" i="51"/>
  <c r="Y117" i="51"/>
  <c r="X117" i="51"/>
  <c r="W117" i="51"/>
  <c r="Z117" i="51" s="1"/>
  <c r="AD117" i="51" s="1"/>
  <c r="AC116" i="51"/>
  <c r="AD116" i="51" s="1"/>
  <c r="AB116" i="51"/>
  <c r="AA116" i="51"/>
  <c r="Y116" i="51"/>
  <c r="X116" i="51"/>
  <c r="W116" i="51"/>
  <c r="Z116" i="51" s="1"/>
  <c r="AC115" i="51"/>
  <c r="AB115" i="51"/>
  <c r="AA115" i="51"/>
  <c r="Y115" i="51"/>
  <c r="X115" i="51"/>
  <c r="W115" i="51"/>
  <c r="Z115" i="51" s="1"/>
  <c r="AC114" i="51"/>
  <c r="AB114" i="51"/>
  <c r="AA114" i="51"/>
  <c r="Y114" i="51"/>
  <c r="X114" i="51"/>
  <c r="W114" i="51"/>
  <c r="AC113" i="51"/>
  <c r="AB113" i="51"/>
  <c r="AA113" i="51"/>
  <c r="Y113" i="51"/>
  <c r="X113" i="51"/>
  <c r="W113" i="51"/>
  <c r="Z113" i="51" s="1"/>
  <c r="AC112" i="51"/>
  <c r="AB112" i="51"/>
  <c r="AA112" i="51"/>
  <c r="Y112" i="51"/>
  <c r="X112" i="51"/>
  <c r="W112" i="51"/>
  <c r="Z112" i="51" s="1"/>
  <c r="AD112" i="51" s="1"/>
  <c r="AC111" i="51"/>
  <c r="AB111" i="51"/>
  <c r="AA111" i="51"/>
  <c r="Y111" i="51"/>
  <c r="X111" i="51"/>
  <c r="W111" i="51"/>
  <c r="Z111" i="51" s="1"/>
  <c r="AD111" i="51" s="1"/>
  <c r="AC110" i="51"/>
  <c r="AB110" i="51"/>
  <c r="AA110" i="51"/>
  <c r="Y110" i="51"/>
  <c r="X110" i="51"/>
  <c r="W110" i="51"/>
  <c r="AC109" i="51"/>
  <c r="AB109" i="51"/>
  <c r="AA109" i="51"/>
  <c r="Y109" i="51"/>
  <c r="X109" i="51"/>
  <c r="W109" i="51"/>
  <c r="Z109" i="51" s="1"/>
  <c r="AC108" i="51"/>
  <c r="AB108" i="51"/>
  <c r="AA108" i="51"/>
  <c r="Y108" i="51"/>
  <c r="X108" i="51"/>
  <c r="W108" i="51"/>
  <c r="Z108" i="51" s="1"/>
  <c r="AC107" i="51"/>
  <c r="AD107" i="51" s="1"/>
  <c r="AB107" i="51"/>
  <c r="AA107" i="51"/>
  <c r="Y107" i="51"/>
  <c r="X107" i="51"/>
  <c r="W107" i="51"/>
  <c r="Z107" i="51" s="1"/>
  <c r="AC106" i="51"/>
  <c r="AB106" i="51"/>
  <c r="AA106" i="51"/>
  <c r="Y106" i="51"/>
  <c r="X106" i="51"/>
  <c r="W106" i="51"/>
  <c r="AC105" i="51"/>
  <c r="AB105" i="51"/>
  <c r="AA105" i="51"/>
  <c r="Y105" i="51"/>
  <c r="X105" i="51"/>
  <c r="W105" i="51"/>
  <c r="Z105" i="51" s="1"/>
  <c r="AC104" i="51"/>
  <c r="AB104" i="51"/>
  <c r="AA104" i="51"/>
  <c r="Y104" i="51"/>
  <c r="X104" i="51"/>
  <c r="W104" i="51"/>
  <c r="Z104" i="51" s="1"/>
  <c r="AD104" i="51" s="1"/>
  <c r="AC103" i="51"/>
  <c r="AB103" i="51"/>
  <c r="AA103" i="51"/>
  <c r="Y103" i="51"/>
  <c r="X103" i="51"/>
  <c r="W103" i="51"/>
  <c r="Z103" i="51" s="1"/>
  <c r="AD103" i="51" s="1"/>
  <c r="AD102" i="51"/>
  <c r="AC102" i="51"/>
  <c r="AB102" i="51"/>
  <c r="AA102" i="51"/>
  <c r="Y102" i="51"/>
  <c r="X102" i="51"/>
  <c r="W102" i="51"/>
  <c r="Z102" i="51" s="1"/>
  <c r="AC101" i="51"/>
  <c r="AB101" i="51"/>
  <c r="AA101" i="51"/>
  <c r="Y101" i="51"/>
  <c r="X101" i="51"/>
  <c r="W101" i="51"/>
  <c r="AC100" i="51"/>
  <c r="AB100" i="51"/>
  <c r="AA100" i="51"/>
  <c r="Y100" i="51"/>
  <c r="X100" i="51"/>
  <c r="W100" i="51"/>
  <c r="Z100" i="51" s="1"/>
  <c r="AC99" i="51"/>
  <c r="AD99" i="51" s="1"/>
  <c r="AB99" i="51"/>
  <c r="AA99" i="51"/>
  <c r="Y99" i="51"/>
  <c r="X99" i="51"/>
  <c r="W99" i="51"/>
  <c r="Z99" i="51" s="1"/>
  <c r="AC98" i="51"/>
  <c r="AD98" i="51" s="1"/>
  <c r="AB98" i="51"/>
  <c r="AA98" i="51"/>
  <c r="Y98" i="51"/>
  <c r="X98" i="51"/>
  <c r="W98" i="51"/>
  <c r="Z98" i="51" s="1"/>
  <c r="AC97" i="51"/>
  <c r="AD97" i="51" s="1"/>
  <c r="AB97" i="51"/>
  <c r="AA97" i="51"/>
  <c r="AC96" i="51"/>
  <c r="AB96" i="51"/>
  <c r="AA96" i="51"/>
  <c r="Y96" i="51"/>
  <c r="X96" i="51"/>
  <c r="W96" i="51"/>
  <c r="AC95" i="51"/>
  <c r="AB95" i="51"/>
  <c r="AA95" i="51"/>
  <c r="Y95" i="51"/>
  <c r="X95" i="51"/>
  <c r="W95" i="51"/>
  <c r="Y94" i="51"/>
  <c r="X94" i="51"/>
  <c r="W94" i="51"/>
  <c r="Z94" i="51" s="1"/>
  <c r="A92" i="51"/>
  <c r="AC91" i="51"/>
  <c r="AB91" i="51"/>
  <c r="AA91" i="51"/>
  <c r="Y91" i="51"/>
  <c r="X91" i="51"/>
  <c r="W91" i="51"/>
  <c r="Z91" i="51" s="1"/>
  <c r="B91" i="51"/>
  <c r="A91" i="51"/>
  <c r="AC90" i="51"/>
  <c r="AB90" i="51"/>
  <c r="AA90" i="51"/>
  <c r="Z90" i="51"/>
  <c r="B90" i="51"/>
  <c r="A90" i="51"/>
  <c r="AC89" i="51"/>
  <c r="AB89" i="51"/>
  <c r="AA89" i="51"/>
  <c r="Z89" i="51"/>
  <c r="B89" i="51"/>
  <c r="A89" i="51"/>
  <c r="AC88" i="51"/>
  <c r="AB88" i="51"/>
  <c r="AA88" i="51"/>
  <c r="Z88" i="51"/>
  <c r="B88" i="51"/>
  <c r="A88" i="51"/>
  <c r="AC87" i="51"/>
  <c r="AB87" i="51"/>
  <c r="AA87" i="51"/>
  <c r="Z87" i="51"/>
  <c r="B87" i="51"/>
  <c r="A87" i="51"/>
  <c r="AC86" i="51"/>
  <c r="AB86" i="51"/>
  <c r="AA86" i="51"/>
  <c r="Z86" i="51"/>
  <c r="B86" i="51"/>
  <c r="A86" i="51"/>
  <c r="AC85" i="51"/>
  <c r="AB85" i="51"/>
  <c r="AA85" i="51"/>
  <c r="Z85" i="51"/>
  <c r="B85" i="51"/>
  <c r="A85" i="51"/>
  <c r="AC84" i="51"/>
  <c r="AB84" i="51"/>
  <c r="AA84" i="51"/>
  <c r="Z84" i="51"/>
  <c r="B84" i="51"/>
  <c r="A84" i="51"/>
  <c r="AC83" i="51"/>
  <c r="AB83" i="51"/>
  <c r="AA83" i="51"/>
  <c r="Z83" i="51"/>
  <c r="B83" i="51"/>
  <c r="A83" i="51"/>
  <c r="AC82" i="51"/>
  <c r="AB82" i="51"/>
  <c r="AA82" i="51"/>
  <c r="Z82" i="51"/>
  <c r="B82" i="51"/>
  <c r="A82" i="51"/>
  <c r="AC81" i="51"/>
  <c r="AB81" i="51"/>
  <c r="AA81" i="51"/>
  <c r="Z81" i="51"/>
  <c r="B81" i="51"/>
  <c r="A81" i="51"/>
  <c r="AC80" i="51"/>
  <c r="AB80" i="51"/>
  <c r="AA80" i="51"/>
  <c r="Z80" i="51"/>
  <c r="B80" i="51"/>
  <c r="A80" i="51"/>
  <c r="AC79" i="51"/>
  <c r="AB79" i="51"/>
  <c r="AA79" i="51"/>
  <c r="Z79" i="51"/>
  <c r="B79" i="51"/>
  <c r="A79" i="51"/>
  <c r="AC78" i="51"/>
  <c r="AB78" i="51"/>
  <c r="AA78" i="51"/>
  <c r="Z78" i="51"/>
  <c r="B78" i="51"/>
  <c r="A78" i="51"/>
  <c r="AC77" i="51"/>
  <c r="AB77" i="51"/>
  <c r="AA77" i="51"/>
  <c r="Z77" i="51"/>
  <c r="B77" i="51"/>
  <c r="A77" i="51"/>
  <c r="AC76" i="51"/>
  <c r="AB76" i="51"/>
  <c r="AA76" i="51"/>
  <c r="Z76" i="51"/>
  <c r="B76" i="51"/>
  <c r="A76" i="51"/>
  <c r="AC75" i="51"/>
  <c r="AB75" i="51"/>
  <c r="AA75" i="51"/>
  <c r="Z75" i="51"/>
  <c r="B75" i="51"/>
  <c r="A75" i="51"/>
  <c r="AC74" i="51"/>
  <c r="AB74" i="51"/>
  <c r="AA74" i="51"/>
  <c r="Z74" i="51"/>
  <c r="B74" i="51"/>
  <c r="A74" i="51"/>
  <c r="AC73" i="51"/>
  <c r="AB73" i="51"/>
  <c r="AA73" i="51"/>
  <c r="Z73" i="51"/>
  <c r="B73" i="51"/>
  <c r="A73" i="51"/>
  <c r="A72" i="51"/>
  <c r="AC71" i="51"/>
  <c r="AB71" i="51"/>
  <c r="AA71" i="51"/>
  <c r="Y71" i="51"/>
  <c r="X71" i="51"/>
  <c r="W71" i="51"/>
  <c r="Z71" i="51" s="1"/>
  <c r="B71" i="51"/>
  <c r="A71" i="51"/>
  <c r="AC70" i="51"/>
  <c r="AB70" i="51"/>
  <c r="AA70" i="51"/>
  <c r="Z70" i="51"/>
  <c r="B70" i="51"/>
  <c r="A70" i="51"/>
  <c r="AC69" i="51"/>
  <c r="AB69" i="51"/>
  <c r="AA69" i="51"/>
  <c r="Z69" i="51"/>
  <c r="B69" i="51"/>
  <c r="A69" i="51"/>
  <c r="AC68" i="51"/>
  <c r="AB68" i="51"/>
  <c r="AA68" i="51"/>
  <c r="Z68" i="51"/>
  <c r="B68" i="51"/>
  <c r="A68" i="51"/>
  <c r="AC67" i="51"/>
  <c r="AB67" i="51"/>
  <c r="AA67" i="51"/>
  <c r="Z67" i="51"/>
  <c r="B67" i="51"/>
  <c r="A67" i="51"/>
  <c r="AC66" i="51"/>
  <c r="AB66" i="51"/>
  <c r="AA66" i="51"/>
  <c r="Z66" i="51"/>
  <c r="B66" i="51"/>
  <c r="A66" i="51"/>
  <c r="AC65" i="51"/>
  <c r="AB65" i="51"/>
  <c r="AA65" i="51"/>
  <c r="Z65" i="51"/>
  <c r="B65" i="51"/>
  <c r="A65" i="51"/>
  <c r="AC64" i="51"/>
  <c r="AB64" i="51"/>
  <c r="AA64" i="51"/>
  <c r="Z64" i="51"/>
  <c r="B64" i="51"/>
  <c r="A64" i="51"/>
  <c r="AC63" i="51"/>
  <c r="AB63" i="51"/>
  <c r="AA63" i="51"/>
  <c r="Z63" i="51"/>
  <c r="B63" i="51"/>
  <c r="A63" i="51"/>
  <c r="AC62" i="51"/>
  <c r="AB62" i="51"/>
  <c r="AA62" i="51"/>
  <c r="Z62" i="51"/>
  <c r="B62" i="51"/>
  <c r="A62" i="51"/>
  <c r="AC61" i="51"/>
  <c r="AB61" i="51"/>
  <c r="AA61" i="51"/>
  <c r="Z61" i="51"/>
  <c r="B61" i="51"/>
  <c r="A61" i="51"/>
  <c r="AC60" i="51"/>
  <c r="AB60" i="51"/>
  <c r="AA60" i="51"/>
  <c r="Z60" i="51"/>
  <c r="B60" i="51"/>
  <c r="A60" i="51"/>
  <c r="AC59" i="51"/>
  <c r="AB59" i="51"/>
  <c r="AA59" i="51"/>
  <c r="Z59" i="51"/>
  <c r="B59" i="51"/>
  <c r="A59" i="51"/>
  <c r="AC58" i="51"/>
  <c r="AB58" i="51"/>
  <c r="AA58" i="51"/>
  <c r="Z58" i="51"/>
  <c r="B58" i="51"/>
  <c r="A58" i="51"/>
  <c r="A57" i="51"/>
  <c r="AC56" i="51"/>
  <c r="AB56" i="51"/>
  <c r="AA56" i="51"/>
  <c r="Y56" i="51"/>
  <c r="X56" i="51"/>
  <c r="W56" i="51"/>
  <c r="Z56" i="51" s="1"/>
  <c r="B56" i="51"/>
  <c r="A56" i="51"/>
  <c r="AC55" i="51"/>
  <c r="AB55" i="51"/>
  <c r="AA55" i="51"/>
  <c r="Z55" i="51"/>
  <c r="B55" i="51"/>
  <c r="A55" i="51"/>
  <c r="AC54" i="51"/>
  <c r="AB54" i="51"/>
  <c r="AA54" i="51"/>
  <c r="Z54" i="51"/>
  <c r="B54" i="51"/>
  <c r="A54" i="51"/>
  <c r="AC53" i="51"/>
  <c r="AB53" i="51"/>
  <c r="AA53" i="51"/>
  <c r="Z53" i="51"/>
  <c r="B53" i="51"/>
  <c r="A53" i="51"/>
  <c r="AC52" i="51"/>
  <c r="AB52" i="51"/>
  <c r="AA52" i="51"/>
  <c r="Z52" i="51"/>
  <c r="B52" i="51"/>
  <c r="A52" i="51"/>
  <c r="AC51" i="51"/>
  <c r="AB51" i="51"/>
  <c r="AA51" i="51"/>
  <c r="Z51" i="51"/>
  <c r="B51" i="51"/>
  <c r="A51" i="51"/>
  <c r="AC50" i="51"/>
  <c r="AB50" i="51"/>
  <c r="AA50" i="51"/>
  <c r="Z50" i="51"/>
  <c r="B50" i="51"/>
  <c r="A50" i="51"/>
  <c r="AC49" i="51"/>
  <c r="AB49" i="51"/>
  <c r="AA49" i="51"/>
  <c r="Z49" i="51"/>
  <c r="B49" i="51"/>
  <c r="A49" i="51"/>
  <c r="AC48" i="51"/>
  <c r="AB48" i="51"/>
  <c r="AA48" i="51"/>
  <c r="Z48" i="51"/>
  <c r="B48" i="51"/>
  <c r="A48" i="51"/>
  <c r="AC47" i="51"/>
  <c r="AB47" i="51"/>
  <c r="AA47" i="51"/>
  <c r="Z47" i="51"/>
  <c r="B47" i="51"/>
  <c r="A47" i="51"/>
  <c r="AC46" i="51"/>
  <c r="AB46" i="51"/>
  <c r="AA46" i="51"/>
  <c r="Z46" i="51"/>
  <c r="B46" i="51"/>
  <c r="A46" i="51"/>
  <c r="AC45" i="51"/>
  <c r="AB45" i="51"/>
  <c r="AA45" i="51"/>
  <c r="Z45" i="51"/>
  <c r="B45" i="51"/>
  <c r="A45" i="51"/>
  <c r="AC44" i="51"/>
  <c r="AB44" i="51"/>
  <c r="AA44" i="51"/>
  <c r="Z44" i="51"/>
  <c r="B44" i="51"/>
  <c r="A44" i="51"/>
  <c r="AC43" i="51"/>
  <c r="AB43" i="51"/>
  <c r="AA43" i="51"/>
  <c r="Z43" i="51"/>
  <c r="B43" i="51"/>
  <c r="A43" i="51"/>
  <c r="AC42" i="51"/>
  <c r="AB42" i="51"/>
  <c r="AA42" i="51"/>
  <c r="Z42" i="51"/>
  <c r="B42" i="51"/>
  <c r="A42" i="51"/>
  <c r="AC41" i="51"/>
  <c r="AB41" i="51"/>
  <c r="AA41" i="51"/>
  <c r="Z41" i="51"/>
  <c r="B41" i="51"/>
  <c r="A41" i="51"/>
  <c r="AC40" i="51"/>
  <c r="AB40" i="51"/>
  <c r="AA40" i="51"/>
  <c r="Z40" i="51"/>
  <c r="B40" i="51"/>
  <c r="A40" i="51"/>
  <c r="AC39" i="51"/>
  <c r="AB39" i="51"/>
  <c r="AA39" i="51"/>
  <c r="Z39" i="51"/>
  <c r="B39" i="51"/>
  <c r="A39" i="51"/>
  <c r="AC38" i="51"/>
  <c r="AB38" i="51"/>
  <c r="AA38" i="51"/>
  <c r="Z38" i="51"/>
  <c r="B38" i="51"/>
  <c r="A38" i="51"/>
  <c r="AC37" i="51"/>
  <c r="AB37" i="51"/>
  <c r="AA37" i="51"/>
  <c r="Z37" i="51"/>
  <c r="B37" i="51"/>
  <c r="A37" i="51"/>
  <c r="AC36" i="51"/>
  <c r="AB36" i="51"/>
  <c r="AA36" i="51"/>
  <c r="Z36" i="51"/>
  <c r="B36" i="51"/>
  <c r="A36" i="51"/>
  <c r="AC35" i="51"/>
  <c r="AB35" i="51"/>
  <c r="AA35" i="51"/>
  <c r="Z35" i="51"/>
  <c r="B35" i="51"/>
  <c r="A35" i="51"/>
  <c r="AC34" i="51"/>
  <c r="AB34" i="51"/>
  <c r="AA34" i="51"/>
  <c r="Z34" i="51"/>
  <c r="B34" i="51"/>
  <c r="A34" i="51"/>
  <c r="AC33" i="51"/>
  <c r="AB33" i="51"/>
  <c r="AA33" i="51"/>
  <c r="Z33" i="51"/>
  <c r="B33" i="51"/>
  <c r="A33" i="51"/>
  <c r="AC32" i="51"/>
  <c r="AB32" i="51"/>
  <c r="AA32" i="51"/>
  <c r="Z32" i="51"/>
  <c r="B32" i="51"/>
  <c r="A32" i="51"/>
  <c r="AC31" i="51"/>
  <c r="AB31" i="51"/>
  <c r="AA31" i="51"/>
  <c r="Z31" i="51"/>
  <c r="B31" i="51"/>
  <c r="A31" i="51"/>
  <c r="AC30" i="51"/>
  <c r="AB30" i="51"/>
  <c r="AA30" i="51"/>
  <c r="Z30" i="51"/>
  <c r="B30" i="51"/>
  <c r="A30" i="51"/>
  <c r="AC29" i="51"/>
  <c r="AB29" i="51"/>
  <c r="AA29" i="51"/>
  <c r="Z29" i="51"/>
  <c r="B29" i="51"/>
  <c r="A29" i="51"/>
  <c r="AC28" i="51"/>
  <c r="AB28" i="51"/>
  <c r="AA28" i="51"/>
  <c r="Z28" i="51"/>
  <c r="B28" i="51"/>
  <c r="A28" i="51"/>
  <c r="AC27" i="51"/>
  <c r="AB27" i="51"/>
  <c r="AA27" i="51"/>
  <c r="Z27" i="51"/>
  <c r="B27" i="51"/>
  <c r="A27" i="51"/>
  <c r="AC26" i="51"/>
  <c r="AB26" i="51"/>
  <c r="AA26" i="51"/>
  <c r="Z26" i="51"/>
  <c r="B26" i="51"/>
  <c r="A26" i="51"/>
  <c r="AC25" i="51"/>
  <c r="AB25" i="51"/>
  <c r="AA25" i="51"/>
  <c r="Z25" i="51"/>
  <c r="B25" i="51"/>
  <c r="A25" i="51"/>
  <c r="AC24" i="51"/>
  <c r="AB24" i="51"/>
  <c r="AA24" i="51"/>
  <c r="Z24" i="51"/>
  <c r="B24" i="51"/>
  <c r="A24" i="51"/>
  <c r="AC23" i="51"/>
  <c r="AB23" i="51"/>
  <c r="AA23" i="51"/>
  <c r="Z23" i="51"/>
  <c r="B23" i="51"/>
  <c r="A23" i="51"/>
  <c r="AC22" i="51"/>
  <c r="AB22" i="51"/>
  <c r="AA22" i="51"/>
  <c r="Z22" i="51"/>
  <c r="B22" i="51"/>
  <c r="A22" i="51"/>
  <c r="AC21" i="51"/>
  <c r="AB21" i="51"/>
  <c r="AA21" i="51"/>
  <c r="Z21" i="51"/>
  <c r="B21" i="51"/>
  <c r="A21" i="51"/>
  <c r="AC20" i="51"/>
  <c r="AB20" i="51"/>
  <c r="AA20" i="51"/>
  <c r="Z20" i="51"/>
  <c r="B20" i="51"/>
  <c r="A20" i="51"/>
  <c r="AC19" i="51"/>
  <c r="AB19" i="51"/>
  <c r="AA19" i="51"/>
  <c r="Z19" i="51"/>
  <c r="B19" i="51"/>
  <c r="A19" i="51"/>
  <c r="AC18" i="51"/>
  <c r="AB18" i="51"/>
  <c r="AA18" i="51"/>
  <c r="Z18" i="51"/>
  <c r="B18" i="51"/>
  <c r="A18" i="51"/>
  <c r="AC17" i="51"/>
  <c r="AB17" i="51"/>
  <c r="AA17" i="51"/>
  <c r="Z17" i="51"/>
  <c r="B17" i="51"/>
  <c r="A17" i="51"/>
  <c r="AC16" i="51"/>
  <c r="AB16" i="51"/>
  <c r="AA16" i="51"/>
  <c r="Z16" i="51"/>
  <c r="B16" i="51"/>
  <c r="A16" i="51"/>
  <c r="AC15" i="51"/>
  <c r="AB15" i="51"/>
  <c r="AA15" i="51"/>
  <c r="Z15" i="51"/>
  <c r="B15" i="51"/>
  <c r="A15" i="51"/>
  <c r="AC14" i="51"/>
  <c r="AB14" i="51"/>
  <c r="AA14" i="51"/>
  <c r="Z14" i="51"/>
  <c r="B14" i="51"/>
  <c r="A14" i="51"/>
  <c r="AC13" i="51"/>
  <c r="AB13" i="51"/>
  <c r="AA13" i="51"/>
  <c r="Z13" i="51"/>
  <c r="B13" i="51"/>
  <c r="A13" i="51"/>
  <c r="AC12" i="51"/>
  <c r="AB12" i="51"/>
  <c r="AA12" i="51"/>
  <c r="Z12" i="51"/>
  <c r="B12" i="51"/>
  <c r="A12" i="51"/>
  <c r="AC11" i="51"/>
  <c r="AB11" i="51"/>
  <c r="AA11" i="51"/>
  <c r="Z11" i="51"/>
  <c r="B11" i="51"/>
  <c r="A11" i="51"/>
  <c r="AC10" i="51"/>
  <c r="AB10" i="51"/>
  <c r="AA10" i="51"/>
  <c r="Z10" i="51"/>
  <c r="B10" i="51"/>
  <c r="A10" i="51"/>
  <c r="AC9" i="51"/>
  <c r="AB9" i="51"/>
  <c r="AA9" i="51"/>
  <c r="Z9" i="51"/>
  <c r="B9" i="51"/>
  <c r="A9" i="51"/>
  <c r="AC8" i="51"/>
  <c r="AB8" i="51"/>
  <c r="AA8" i="51"/>
  <c r="Z8" i="51"/>
  <c r="B8" i="51"/>
  <c r="A8" i="51"/>
  <c r="AC7" i="51"/>
  <c r="AB7" i="51"/>
  <c r="AA7" i="51"/>
  <c r="Z7" i="51"/>
  <c r="B7" i="51"/>
  <c r="A7" i="51"/>
  <c r="X5" i="51"/>
  <c r="W5" i="51"/>
  <c r="AD4" i="51"/>
  <c r="Y157" i="41"/>
  <c r="Y158" i="41"/>
  <c r="Y159" i="41"/>
  <c r="Y160" i="41"/>
  <c r="Y161" i="41"/>
  <c r="Y162" i="41"/>
  <c r="Y163" i="41"/>
  <c r="Y164" i="41"/>
  <c r="Y165" i="41"/>
  <c r="Y166" i="41"/>
  <c r="Y167" i="41"/>
  <c r="Y168" i="41"/>
  <c r="Y169" i="41"/>
  <c r="Y170" i="41"/>
  <c r="Y171" i="41"/>
  <c r="Y172" i="41"/>
  <c r="Y173" i="41"/>
  <c r="Y174" i="41"/>
  <c r="Y175" i="41"/>
  <c r="Y176" i="41"/>
  <c r="X157" i="41"/>
  <c r="X158" i="41"/>
  <c r="X159" i="41"/>
  <c r="X160" i="41"/>
  <c r="X161" i="41"/>
  <c r="X162" i="41"/>
  <c r="X163" i="41"/>
  <c r="X164" i="41"/>
  <c r="X165" i="41"/>
  <c r="X166" i="41"/>
  <c r="X167" i="41"/>
  <c r="X168" i="41"/>
  <c r="X169" i="41"/>
  <c r="X170" i="41"/>
  <c r="X171" i="41"/>
  <c r="X172" i="41"/>
  <c r="X173" i="41"/>
  <c r="X174" i="41"/>
  <c r="X175" i="41"/>
  <c r="X176" i="41"/>
  <c r="W157" i="41"/>
  <c r="Z157" i="41" s="1"/>
  <c r="W158" i="41"/>
  <c r="Z158" i="41" s="1"/>
  <c r="W159" i="41"/>
  <c r="Z159" i="41" s="1"/>
  <c r="W160" i="41"/>
  <c r="Z160" i="41" s="1"/>
  <c r="W161" i="41"/>
  <c r="Z161" i="41" s="1"/>
  <c r="W162" i="41"/>
  <c r="Z162" i="41" s="1"/>
  <c r="W163" i="41"/>
  <c r="W164" i="41"/>
  <c r="W165" i="41"/>
  <c r="Z165" i="41" s="1"/>
  <c r="AD165" i="41" s="1"/>
  <c r="W166" i="41"/>
  <c r="Z166" i="41" s="1"/>
  <c r="W167" i="41"/>
  <c r="Z167" i="41" s="1"/>
  <c r="W168" i="41"/>
  <c r="Z168" i="41" s="1"/>
  <c r="W169" i="41"/>
  <c r="Z169" i="41" s="1"/>
  <c r="W170" i="41"/>
  <c r="Z170" i="41" s="1"/>
  <c r="W171" i="41"/>
  <c r="W172" i="41"/>
  <c r="W173" i="41"/>
  <c r="Z173" i="41" s="1"/>
  <c r="AD173" i="41" s="1"/>
  <c r="W174" i="41"/>
  <c r="Z174" i="41" s="1"/>
  <c r="W175" i="41"/>
  <c r="Z175" i="41" s="1"/>
  <c r="W176" i="41"/>
  <c r="Z176" i="41" s="1"/>
  <c r="AD172" i="41"/>
  <c r="AC96" i="41"/>
  <c r="AC97" i="41"/>
  <c r="AC98" i="41"/>
  <c r="AC99" i="41"/>
  <c r="AC100" i="41"/>
  <c r="AC101" i="41"/>
  <c r="AC102" i="41"/>
  <c r="AC103" i="41"/>
  <c r="AC104" i="41"/>
  <c r="AC105" i="41"/>
  <c r="AC106" i="41"/>
  <c r="AC107" i="41"/>
  <c r="AC108" i="41"/>
  <c r="AC109" i="41"/>
  <c r="AC110" i="41"/>
  <c r="AC111" i="41"/>
  <c r="AC112" i="41"/>
  <c r="AC113" i="41"/>
  <c r="AC114" i="41"/>
  <c r="AC115" i="41"/>
  <c r="AC116" i="41"/>
  <c r="AC117" i="41"/>
  <c r="AC118" i="41"/>
  <c r="AC119" i="41"/>
  <c r="AC120" i="41"/>
  <c r="AC121" i="41"/>
  <c r="AC122" i="41"/>
  <c r="AC123" i="41"/>
  <c r="AC124" i="41"/>
  <c r="AC125" i="41"/>
  <c r="AC126" i="41"/>
  <c r="AC127" i="41"/>
  <c r="AC128" i="41"/>
  <c r="AC129" i="41"/>
  <c r="AC130" i="41"/>
  <c r="AC131" i="41"/>
  <c r="AC132" i="41"/>
  <c r="AC133" i="41"/>
  <c r="AC134" i="41"/>
  <c r="AC135" i="41"/>
  <c r="AC136" i="41"/>
  <c r="AC137" i="41"/>
  <c r="AC138" i="41"/>
  <c r="AC139" i="41"/>
  <c r="AC140" i="41"/>
  <c r="AC141" i="41"/>
  <c r="AC142" i="41"/>
  <c r="AC143" i="41"/>
  <c r="AC144" i="41"/>
  <c r="AC145" i="41"/>
  <c r="AC146" i="41"/>
  <c r="AC147" i="41"/>
  <c r="AC148" i="41"/>
  <c r="AC149" i="41"/>
  <c r="AC150" i="41"/>
  <c r="AC151" i="41"/>
  <c r="AC152" i="41"/>
  <c r="AC153" i="41"/>
  <c r="AC154" i="41"/>
  <c r="AC155" i="41"/>
  <c r="AC156" i="41"/>
  <c r="AC157" i="41"/>
  <c r="AC158" i="41"/>
  <c r="AC159" i="41"/>
  <c r="AC160" i="41"/>
  <c r="AC161" i="41"/>
  <c r="AC162" i="41"/>
  <c r="AC163" i="41"/>
  <c r="AC164" i="41"/>
  <c r="AC165" i="41"/>
  <c r="AC166" i="41"/>
  <c r="AC167" i="41"/>
  <c r="AC168" i="41"/>
  <c r="AC169" i="41"/>
  <c r="AC170" i="41"/>
  <c r="AC171" i="41"/>
  <c r="AC172" i="41"/>
  <c r="AC173" i="41"/>
  <c r="AC174" i="41"/>
  <c r="AC175" i="41"/>
  <c r="AC176" i="41"/>
  <c r="AB96" i="41"/>
  <c r="AB97" i="41"/>
  <c r="AB98" i="41"/>
  <c r="AB99" i="41"/>
  <c r="AB100" i="41"/>
  <c r="AB101" i="41"/>
  <c r="AB102" i="41"/>
  <c r="AB103" i="41"/>
  <c r="AB104" i="41"/>
  <c r="AB105" i="41"/>
  <c r="AB106" i="41"/>
  <c r="AB107" i="41"/>
  <c r="AB108" i="41"/>
  <c r="AB109" i="41"/>
  <c r="AB110" i="41"/>
  <c r="AB111" i="41"/>
  <c r="AB112" i="41"/>
  <c r="AB113" i="41"/>
  <c r="AB114" i="41"/>
  <c r="AB115" i="41"/>
  <c r="AB116" i="41"/>
  <c r="AB117" i="41"/>
  <c r="AB118" i="41"/>
  <c r="AB119" i="41"/>
  <c r="AB120" i="41"/>
  <c r="AB121" i="41"/>
  <c r="AB122" i="41"/>
  <c r="AB123" i="41"/>
  <c r="AB124" i="41"/>
  <c r="AB125" i="41"/>
  <c r="AB126" i="41"/>
  <c r="AB127" i="41"/>
  <c r="AB128" i="41"/>
  <c r="AB129" i="41"/>
  <c r="AB130" i="41"/>
  <c r="AB131" i="41"/>
  <c r="AB132" i="41"/>
  <c r="AB133" i="41"/>
  <c r="AB134" i="41"/>
  <c r="AB135" i="41"/>
  <c r="AB136" i="41"/>
  <c r="AB137" i="41"/>
  <c r="AB138" i="41"/>
  <c r="AB139" i="41"/>
  <c r="AB140" i="41"/>
  <c r="AB141" i="41"/>
  <c r="AB142" i="41"/>
  <c r="AB143" i="41"/>
  <c r="AB144" i="41"/>
  <c r="AB145" i="41"/>
  <c r="AB146" i="41"/>
  <c r="AB147" i="41"/>
  <c r="AB148" i="41"/>
  <c r="AB149" i="41"/>
  <c r="AB150" i="41"/>
  <c r="AB151" i="41"/>
  <c r="AB152" i="41"/>
  <c r="AB153" i="41"/>
  <c r="AB154" i="41"/>
  <c r="AB155" i="41"/>
  <c r="AB156" i="41"/>
  <c r="AB157" i="41"/>
  <c r="AB158" i="41"/>
  <c r="AB159" i="41"/>
  <c r="AB160" i="41"/>
  <c r="AB161" i="41"/>
  <c r="AB162" i="41"/>
  <c r="AB163" i="41"/>
  <c r="AB164" i="41"/>
  <c r="AB165" i="41"/>
  <c r="AB166" i="41"/>
  <c r="AB167" i="41"/>
  <c r="AB168" i="41"/>
  <c r="AB169" i="41"/>
  <c r="AB170" i="41"/>
  <c r="AB171" i="41"/>
  <c r="AB172" i="41"/>
  <c r="AB173" i="41"/>
  <c r="AB174" i="41"/>
  <c r="AB175" i="41"/>
  <c r="AB176" i="41"/>
  <c r="AC95" i="41"/>
  <c r="AB95" i="41"/>
  <c r="AA96" i="41"/>
  <c r="AA97" i="41"/>
  <c r="AA98" i="41"/>
  <c r="AA99" i="41"/>
  <c r="AA100" i="41"/>
  <c r="AA101" i="41"/>
  <c r="AA102" i="41"/>
  <c r="AA103" i="41"/>
  <c r="AA104" i="41"/>
  <c r="AA105" i="41"/>
  <c r="AA106" i="41"/>
  <c r="AA107" i="41"/>
  <c r="AA108" i="41"/>
  <c r="AA109" i="41"/>
  <c r="AA110" i="41"/>
  <c r="AA111" i="41"/>
  <c r="AA112" i="41"/>
  <c r="AA113" i="41"/>
  <c r="AA114" i="41"/>
  <c r="AA115" i="41"/>
  <c r="AA116" i="41"/>
  <c r="AA117" i="41"/>
  <c r="AA118" i="41"/>
  <c r="AA119" i="41"/>
  <c r="AA120" i="41"/>
  <c r="AA121" i="41"/>
  <c r="AA122" i="41"/>
  <c r="AA123" i="41"/>
  <c r="AA124" i="41"/>
  <c r="AA125" i="41"/>
  <c r="AA126" i="41"/>
  <c r="AA127" i="41"/>
  <c r="AA128" i="41"/>
  <c r="AA129" i="41"/>
  <c r="AA130" i="41"/>
  <c r="AA131" i="41"/>
  <c r="AA132" i="41"/>
  <c r="AA133" i="41"/>
  <c r="AA134" i="41"/>
  <c r="AA135" i="41"/>
  <c r="AA136" i="41"/>
  <c r="AA137" i="41"/>
  <c r="AA138" i="41"/>
  <c r="AA139" i="41"/>
  <c r="AA140" i="41"/>
  <c r="AA141" i="41"/>
  <c r="AA142" i="41"/>
  <c r="AA143" i="41"/>
  <c r="AA144" i="41"/>
  <c r="AA145" i="41"/>
  <c r="AA146" i="41"/>
  <c r="AA147" i="41"/>
  <c r="AA148" i="41"/>
  <c r="AA149" i="41"/>
  <c r="AA150" i="41"/>
  <c r="AA151" i="41"/>
  <c r="AA152" i="41"/>
  <c r="AA153" i="41"/>
  <c r="AA154" i="41"/>
  <c r="AA155" i="41"/>
  <c r="AA156" i="41"/>
  <c r="AA157" i="41"/>
  <c r="AA158" i="41"/>
  <c r="AA159" i="41"/>
  <c r="AA160" i="41"/>
  <c r="AA161" i="41"/>
  <c r="AA162" i="41"/>
  <c r="AA163" i="41"/>
  <c r="AA164" i="41"/>
  <c r="AA165" i="41"/>
  <c r="AA166" i="41"/>
  <c r="AA167" i="41"/>
  <c r="AA168" i="41"/>
  <c r="AA169" i="41"/>
  <c r="AA170" i="41"/>
  <c r="AA171" i="41"/>
  <c r="AA172" i="41"/>
  <c r="AA173" i="41"/>
  <c r="AA174" i="41"/>
  <c r="AA175" i="41"/>
  <c r="AA176" i="41"/>
  <c r="AA95" i="41"/>
  <c r="S177" i="41"/>
  <c r="N177" i="41"/>
  <c r="F177" i="41"/>
  <c r="D177" i="41"/>
  <c r="C177" i="41"/>
  <c r="Y156" i="41"/>
  <c r="X156" i="41"/>
  <c r="W156" i="41"/>
  <c r="Y155" i="41"/>
  <c r="X155" i="41"/>
  <c r="W155" i="41"/>
  <c r="Y154" i="41"/>
  <c r="X154" i="41"/>
  <c r="W154" i="41"/>
  <c r="Y153" i="41"/>
  <c r="X153" i="41"/>
  <c r="W153" i="41"/>
  <c r="Y152" i="41"/>
  <c r="X152" i="41"/>
  <c r="W152" i="41"/>
  <c r="Y151" i="41"/>
  <c r="X151" i="41"/>
  <c r="W151" i="41"/>
  <c r="Y150" i="41"/>
  <c r="X150" i="41"/>
  <c r="W150" i="41"/>
  <c r="Y149" i="41"/>
  <c r="X149" i="41"/>
  <c r="W149" i="41"/>
  <c r="Y148" i="41"/>
  <c r="X148" i="41"/>
  <c r="W148" i="41"/>
  <c r="Y147" i="41"/>
  <c r="X147" i="41"/>
  <c r="W147" i="41"/>
  <c r="Y146" i="41"/>
  <c r="X146" i="41"/>
  <c r="W146" i="41"/>
  <c r="Y145" i="41"/>
  <c r="X145" i="41"/>
  <c r="W145" i="41"/>
  <c r="Y144" i="41"/>
  <c r="X144" i="41"/>
  <c r="W144" i="41"/>
  <c r="Y143" i="41"/>
  <c r="X143" i="41"/>
  <c r="W143" i="41"/>
  <c r="Y142" i="41"/>
  <c r="X142" i="41"/>
  <c r="W142" i="41"/>
  <c r="Y141" i="41"/>
  <c r="X141" i="41"/>
  <c r="W141" i="41"/>
  <c r="Y140" i="41"/>
  <c r="X140" i="41"/>
  <c r="W140" i="41"/>
  <c r="Y139" i="41"/>
  <c r="X139" i="41"/>
  <c r="W139" i="41"/>
  <c r="Y138" i="41"/>
  <c r="X138" i="41"/>
  <c r="W138" i="41"/>
  <c r="Y137" i="41"/>
  <c r="X137" i="41"/>
  <c r="W137" i="41"/>
  <c r="Y136" i="41"/>
  <c r="X136" i="41"/>
  <c r="W136" i="41"/>
  <c r="Y135" i="41"/>
  <c r="X135" i="41"/>
  <c r="W135" i="41"/>
  <c r="Y134" i="41"/>
  <c r="X134" i="41"/>
  <c r="W134" i="41"/>
  <c r="Y133" i="41"/>
  <c r="X133" i="41"/>
  <c r="W133" i="41"/>
  <c r="Y132" i="41"/>
  <c r="X132" i="41"/>
  <c r="W132" i="41"/>
  <c r="Y131" i="41"/>
  <c r="X131" i="41"/>
  <c r="W131" i="41"/>
  <c r="Y130" i="41"/>
  <c r="X130" i="41"/>
  <c r="W130" i="41"/>
  <c r="Y129" i="41"/>
  <c r="X129" i="41"/>
  <c r="W129" i="41"/>
  <c r="Y128" i="41"/>
  <c r="X128" i="41"/>
  <c r="W128" i="41"/>
  <c r="Y127" i="41"/>
  <c r="X127" i="41"/>
  <c r="W127" i="41"/>
  <c r="Y126" i="41"/>
  <c r="X126" i="41"/>
  <c r="W126" i="41"/>
  <c r="Y125" i="41"/>
  <c r="X125" i="41"/>
  <c r="W125" i="41"/>
  <c r="Y124" i="41"/>
  <c r="X124" i="41"/>
  <c r="W124" i="41"/>
  <c r="Y123" i="41"/>
  <c r="X123" i="41"/>
  <c r="W123" i="41"/>
  <c r="Y122" i="41"/>
  <c r="X122" i="41"/>
  <c r="W122" i="41"/>
  <c r="Y121" i="41"/>
  <c r="X121" i="41"/>
  <c r="W121" i="41"/>
  <c r="Y120" i="41"/>
  <c r="X120" i="41"/>
  <c r="W120" i="41"/>
  <c r="Y119" i="41"/>
  <c r="X119" i="41"/>
  <c r="W119" i="41"/>
  <c r="Y118" i="41"/>
  <c r="X118" i="41"/>
  <c r="W118" i="41"/>
  <c r="Y117" i="41"/>
  <c r="X117" i="41"/>
  <c r="W117" i="41"/>
  <c r="Y116" i="41"/>
  <c r="X116" i="41"/>
  <c r="W116" i="41"/>
  <c r="Y115" i="41"/>
  <c r="X115" i="41"/>
  <c r="W115" i="41"/>
  <c r="Y114" i="41"/>
  <c r="X114" i="41"/>
  <c r="W114" i="41"/>
  <c r="Y113" i="41"/>
  <c r="X113" i="41"/>
  <c r="W113" i="41"/>
  <c r="X112" i="41"/>
  <c r="W112" i="41"/>
  <c r="Y111" i="41"/>
  <c r="X111" i="41"/>
  <c r="W111" i="41"/>
  <c r="Y110" i="41"/>
  <c r="X110" i="41"/>
  <c r="W110" i="41"/>
  <c r="Y109" i="41"/>
  <c r="X109" i="41"/>
  <c r="W109" i="41"/>
  <c r="Y108" i="41"/>
  <c r="X108" i="41"/>
  <c r="W108" i="41"/>
  <c r="Y107" i="41"/>
  <c r="X107" i="41"/>
  <c r="W107" i="41"/>
  <c r="Y106" i="41"/>
  <c r="X106" i="41"/>
  <c r="W106" i="41"/>
  <c r="Y105" i="41"/>
  <c r="X105" i="41"/>
  <c r="W105" i="41"/>
  <c r="Y104" i="41"/>
  <c r="X104" i="41"/>
  <c r="W104" i="41"/>
  <c r="Y103" i="41"/>
  <c r="X103" i="41"/>
  <c r="W103" i="41"/>
  <c r="Y102" i="41"/>
  <c r="X102" i="41"/>
  <c r="W102" i="41"/>
  <c r="Y101" i="41"/>
  <c r="X101" i="41"/>
  <c r="W101" i="41"/>
  <c r="Y100" i="41"/>
  <c r="X100" i="41"/>
  <c r="W100" i="41"/>
  <c r="Y99" i="41"/>
  <c r="X99" i="41"/>
  <c r="W99" i="41"/>
  <c r="Y98" i="41"/>
  <c r="X98" i="41"/>
  <c r="W98" i="41"/>
  <c r="Y96" i="41"/>
  <c r="X96" i="41"/>
  <c r="X177" i="41" s="1"/>
  <c r="W96" i="41"/>
  <c r="W177" i="41" s="1"/>
  <c r="Y95" i="41"/>
  <c r="X95" i="41"/>
  <c r="W95" i="41"/>
  <c r="Y94" i="41"/>
  <c r="X94" i="41"/>
  <c r="W94" i="41"/>
  <c r="A92" i="41"/>
  <c r="AC91" i="41"/>
  <c r="AB91" i="41"/>
  <c r="AA91" i="41"/>
  <c r="Y91" i="41"/>
  <c r="X91" i="41"/>
  <c r="W91" i="41"/>
  <c r="B91" i="41"/>
  <c r="A91" i="41"/>
  <c r="AC90" i="41"/>
  <c r="AB90" i="41"/>
  <c r="AA90" i="41"/>
  <c r="Z90" i="41"/>
  <c r="B90" i="41"/>
  <c r="A90" i="41"/>
  <c r="AC89" i="41"/>
  <c r="AB89" i="41"/>
  <c r="AA89" i="41"/>
  <c r="Z89" i="41"/>
  <c r="B89" i="41"/>
  <c r="A89" i="41"/>
  <c r="AC88" i="41"/>
  <c r="AB88" i="41"/>
  <c r="AA88" i="41"/>
  <c r="Z88" i="41"/>
  <c r="B88" i="41"/>
  <c r="A88" i="41"/>
  <c r="AC87" i="41"/>
  <c r="AB87" i="41"/>
  <c r="AA87" i="41"/>
  <c r="Z87" i="41"/>
  <c r="B87" i="41"/>
  <c r="A87" i="41"/>
  <c r="AC86" i="41"/>
  <c r="AB86" i="41"/>
  <c r="AA86" i="41"/>
  <c r="Z86" i="41"/>
  <c r="B86" i="41"/>
  <c r="A86" i="41"/>
  <c r="AC85" i="41"/>
  <c r="AB85" i="41"/>
  <c r="AA85" i="41"/>
  <c r="Z85" i="41"/>
  <c r="B85" i="41"/>
  <c r="A85" i="41"/>
  <c r="AC84" i="41"/>
  <c r="AB84" i="41"/>
  <c r="AA84" i="41"/>
  <c r="Z84" i="41"/>
  <c r="B84" i="41"/>
  <c r="A84" i="41"/>
  <c r="AC83" i="41"/>
  <c r="AB83" i="41"/>
  <c r="AA83" i="41"/>
  <c r="Z83" i="41"/>
  <c r="B83" i="41"/>
  <c r="A83" i="41"/>
  <c r="AC82" i="41"/>
  <c r="AB82" i="41"/>
  <c r="AA82" i="41"/>
  <c r="Z82" i="41"/>
  <c r="B82" i="41"/>
  <c r="A82" i="41"/>
  <c r="AC81" i="41"/>
  <c r="AB81" i="41"/>
  <c r="AA81" i="41"/>
  <c r="Z81" i="41"/>
  <c r="B81" i="41"/>
  <c r="A81" i="41"/>
  <c r="AC80" i="41"/>
  <c r="AB80" i="41"/>
  <c r="AA80" i="41"/>
  <c r="Z80" i="41"/>
  <c r="B80" i="41"/>
  <c r="A80" i="41"/>
  <c r="AC79" i="41"/>
  <c r="AB79" i="41"/>
  <c r="AA79" i="41"/>
  <c r="Z79" i="41"/>
  <c r="B79" i="41"/>
  <c r="A79" i="41"/>
  <c r="AC78" i="41"/>
  <c r="AB78" i="41"/>
  <c r="AA78" i="41"/>
  <c r="Z78" i="41"/>
  <c r="B78" i="41"/>
  <c r="A78" i="41"/>
  <c r="AC77" i="41"/>
  <c r="AB77" i="41"/>
  <c r="AA77" i="41"/>
  <c r="Z77" i="41"/>
  <c r="B77" i="41"/>
  <c r="A77" i="41"/>
  <c r="AC76" i="41"/>
  <c r="AB76" i="41"/>
  <c r="AA76" i="41"/>
  <c r="Z76" i="41"/>
  <c r="B76" i="41"/>
  <c r="A76" i="41"/>
  <c r="AC75" i="41"/>
  <c r="AB75" i="41"/>
  <c r="AA75" i="41"/>
  <c r="Z75" i="41"/>
  <c r="B75" i="41"/>
  <c r="A75" i="41"/>
  <c r="AC74" i="41"/>
  <c r="AB74" i="41"/>
  <c r="AA74" i="41"/>
  <c r="Z74" i="41"/>
  <c r="B74" i="41"/>
  <c r="A74" i="41"/>
  <c r="AC73" i="41"/>
  <c r="AB73" i="41"/>
  <c r="AA73" i="41"/>
  <c r="Z73" i="41"/>
  <c r="B73" i="41"/>
  <c r="A73" i="41"/>
  <c r="A72" i="41"/>
  <c r="AC71" i="41"/>
  <c r="AB71" i="41"/>
  <c r="AA71" i="41"/>
  <c r="Y71" i="41"/>
  <c r="X71" i="41"/>
  <c r="W71" i="41"/>
  <c r="B71" i="41"/>
  <c r="A71" i="41"/>
  <c r="AC70" i="41"/>
  <c r="AB70" i="41"/>
  <c r="AA70" i="41"/>
  <c r="Z70" i="41"/>
  <c r="B70" i="41"/>
  <c r="A70" i="41"/>
  <c r="AC69" i="41"/>
  <c r="AB69" i="41"/>
  <c r="AA69" i="41"/>
  <c r="Z69" i="41"/>
  <c r="B69" i="41"/>
  <c r="A69" i="41"/>
  <c r="AC68" i="41"/>
  <c r="AB68" i="41"/>
  <c r="AA68" i="41"/>
  <c r="Z68" i="41"/>
  <c r="B68" i="41"/>
  <c r="A68" i="41"/>
  <c r="AC67" i="41"/>
  <c r="AB67" i="41"/>
  <c r="AA67" i="41"/>
  <c r="Z67" i="41"/>
  <c r="B67" i="41"/>
  <c r="A67" i="41"/>
  <c r="AC66" i="41"/>
  <c r="AB66" i="41"/>
  <c r="AA66" i="41"/>
  <c r="Z66" i="41"/>
  <c r="B66" i="41"/>
  <c r="A66" i="41"/>
  <c r="AC65" i="41"/>
  <c r="AB65" i="41"/>
  <c r="AA65" i="41"/>
  <c r="Z65" i="41"/>
  <c r="B65" i="41"/>
  <c r="A65" i="41"/>
  <c r="AC64" i="41"/>
  <c r="AB64" i="41"/>
  <c r="AA64" i="41"/>
  <c r="Z64" i="41"/>
  <c r="B64" i="41"/>
  <c r="A64" i="41"/>
  <c r="AC63" i="41"/>
  <c r="AB63" i="41"/>
  <c r="AA63" i="41"/>
  <c r="Z63" i="41"/>
  <c r="B63" i="41"/>
  <c r="A63" i="41"/>
  <c r="AC62" i="41"/>
  <c r="AB62" i="41"/>
  <c r="AA62" i="41"/>
  <c r="Z62" i="41"/>
  <c r="B62" i="41"/>
  <c r="A62" i="41"/>
  <c r="AC61" i="41"/>
  <c r="AB61" i="41"/>
  <c r="AA61" i="41"/>
  <c r="Z61" i="41"/>
  <c r="B61" i="41"/>
  <c r="A61" i="41"/>
  <c r="AC60" i="41"/>
  <c r="AB60" i="41"/>
  <c r="AA60" i="41"/>
  <c r="Z60" i="41"/>
  <c r="B60" i="41"/>
  <c r="A60" i="41"/>
  <c r="AC59" i="41"/>
  <c r="AB59" i="41"/>
  <c r="AA59" i="41"/>
  <c r="Z59" i="41"/>
  <c r="B59" i="41"/>
  <c r="A59" i="41"/>
  <c r="AC58" i="41"/>
  <c r="AB58" i="41"/>
  <c r="AA58" i="41"/>
  <c r="Z58" i="41"/>
  <c r="B58" i="41"/>
  <c r="A58" i="41"/>
  <c r="A57" i="41"/>
  <c r="AC56" i="41"/>
  <c r="AB56" i="41"/>
  <c r="AA56" i="41"/>
  <c r="Y56" i="41"/>
  <c r="X56" i="41"/>
  <c r="W56" i="41"/>
  <c r="B56" i="41"/>
  <c r="A56" i="41"/>
  <c r="AC55" i="41"/>
  <c r="AB55" i="41"/>
  <c r="AA55" i="41"/>
  <c r="Z55" i="41"/>
  <c r="B55" i="41"/>
  <c r="A55" i="41"/>
  <c r="AC54" i="41"/>
  <c r="AB54" i="41"/>
  <c r="AA54" i="41"/>
  <c r="Z54" i="41"/>
  <c r="B54" i="41"/>
  <c r="A54" i="41"/>
  <c r="AC53" i="41"/>
  <c r="AB53" i="41"/>
  <c r="AA53" i="41"/>
  <c r="Z53" i="41"/>
  <c r="B53" i="41"/>
  <c r="A53" i="41"/>
  <c r="AC52" i="41"/>
  <c r="AB52" i="41"/>
  <c r="AA52" i="41"/>
  <c r="Z52" i="41"/>
  <c r="B52" i="41"/>
  <c r="A52" i="41"/>
  <c r="AC51" i="41"/>
  <c r="AB51" i="41"/>
  <c r="AA51" i="41"/>
  <c r="Z51" i="41"/>
  <c r="B51" i="41"/>
  <c r="A51" i="41"/>
  <c r="AC50" i="41"/>
  <c r="AB50" i="41"/>
  <c r="AA50" i="41"/>
  <c r="Z50" i="41"/>
  <c r="B50" i="41"/>
  <c r="A50" i="41"/>
  <c r="AC49" i="41"/>
  <c r="AB49" i="41"/>
  <c r="AA49" i="41"/>
  <c r="Z49" i="41"/>
  <c r="B49" i="41"/>
  <c r="A49" i="41"/>
  <c r="AC48" i="41"/>
  <c r="AB48" i="41"/>
  <c r="AA48" i="41"/>
  <c r="Z48" i="41"/>
  <c r="B48" i="41"/>
  <c r="A48" i="41"/>
  <c r="AC47" i="41"/>
  <c r="AB47" i="41"/>
  <c r="AA47" i="41"/>
  <c r="Z47" i="41"/>
  <c r="B47" i="41"/>
  <c r="A47" i="41"/>
  <c r="AC46" i="41"/>
  <c r="AB46" i="41"/>
  <c r="AA46" i="41"/>
  <c r="Z46" i="41"/>
  <c r="B46" i="41"/>
  <c r="A46" i="41"/>
  <c r="AC45" i="41"/>
  <c r="AB45" i="41"/>
  <c r="AA45" i="41"/>
  <c r="Z45" i="41"/>
  <c r="B45" i="41"/>
  <c r="A45" i="41"/>
  <c r="AC44" i="41"/>
  <c r="AB44" i="41"/>
  <c r="AA44" i="41"/>
  <c r="Z44" i="41"/>
  <c r="B44" i="41"/>
  <c r="A44" i="41"/>
  <c r="AC43" i="41"/>
  <c r="AB43" i="41"/>
  <c r="AA43" i="41"/>
  <c r="Z43" i="41"/>
  <c r="B43" i="41"/>
  <c r="A43" i="41"/>
  <c r="AC42" i="41"/>
  <c r="AB42" i="41"/>
  <c r="AA42" i="41"/>
  <c r="Z42" i="41"/>
  <c r="B42" i="41"/>
  <c r="A42" i="41"/>
  <c r="AC41" i="41"/>
  <c r="AB41" i="41"/>
  <c r="AA41" i="41"/>
  <c r="Z41" i="41"/>
  <c r="B41" i="41"/>
  <c r="A41" i="41"/>
  <c r="AC40" i="41"/>
  <c r="AB40" i="41"/>
  <c r="AA40" i="41"/>
  <c r="Z40" i="41"/>
  <c r="B40" i="41"/>
  <c r="A40" i="41"/>
  <c r="AC39" i="41"/>
  <c r="AB39" i="41"/>
  <c r="AA39" i="41"/>
  <c r="Z39" i="41"/>
  <c r="B39" i="41"/>
  <c r="A39" i="41"/>
  <c r="AC38" i="41"/>
  <c r="AB38" i="41"/>
  <c r="AA38" i="41"/>
  <c r="Z38" i="41"/>
  <c r="B38" i="41"/>
  <c r="A38" i="41"/>
  <c r="AC37" i="41"/>
  <c r="AB37" i="41"/>
  <c r="AA37" i="41"/>
  <c r="Z37" i="41"/>
  <c r="B37" i="41"/>
  <c r="A37" i="41"/>
  <c r="AC36" i="41"/>
  <c r="AB36" i="41"/>
  <c r="AA36" i="41"/>
  <c r="Z36" i="41"/>
  <c r="B36" i="41"/>
  <c r="A36" i="41"/>
  <c r="AC35" i="41"/>
  <c r="AB35" i="41"/>
  <c r="AA35" i="41"/>
  <c r="Z35" i="41"/>
  <c r="B35" i="41"/>
  <c r="A35" i="41"/>
  <c r="AC34" i="41"/>
  <c r="AB34" i="41"/>
  <c r="AA34" i="41"/>
  <c r="Z34" i="41"/>
  <c r="B34" i="41"/>
  <c r="A34" i="41"/>
  <c r="AC33" i="41"/>
  <c r="AB33" i="41"/>
  <c r="AA33" i="41"/>
  <c r="Z33" i="41"/>
  <c r="B33" i="41"/>
  <c r="A33" i="41"/>
  <c r="AC32" i="41"/>
  <c r="AB32" i="41"/>
  <c r="AA32" i="41"/>
  <c r="Z32" i="41"/>
  <c r="B32" i="41"/>
  <c r="A32" i="41"/>
  <c r="AC31" i="41"/>
  <c r="AB31" i="41"/>
  <c r="AA31" i="41"/>
  <c r="Z31" i="41"/>
  <c r="B31" i="41"/>
  <c r="A31" i="41"/>
  <c r="AC30" i="41"/>
  <c r="AB30" i="41"/>
  <c r="AA30" i="41"/>
  <c r="Z30" i="41"/>
  <c r="B30" i="41"/>
  <c r="A30" i="41"/>
  <c r="AC29" i="41"/>
  <c r="AB29" i="41"/>
  <c r="AA29" i="41"/>
  <c r="Z29" i="41"/>
  <c r="B29" i="41"/>
  <c r="A29" i="41"/>
  <c r="AC28" i="41"/>
  <c r="AB28" i="41"/>
  <c r="AA28" i="41"/>
  <c r="Z28" i="41"/>
  <c r="B28" i="41"/>
  <c r="A28" i="41"/>
  <c r="AC27" i="41"/>
  <c r="AB27" i="41"/>
  <c r="AA27" i="41"/>
  <c r="Z27" i="41"/>
  <c r="B27" i="41"/>
  <c r="A27" i="41"/>
  <c r="AC26" i="41"/>
  <c r="AB26" i="41"/>
  <c r="AA26" i="41"/>
  <c r="Z26" i="41"/>
  <c r="B26" i="41"/>
  <c r="A26" i="41"/>
  <c r="AC25" i="41"/>
  <c r="AB25" i="41"/>
  <c r="AA25" i="41"/>
  <c r="Z25" i="41"/>
  <c r="B25" i="41"/>
  <c r="A25" i="41"/>
  <c r="AC24" i="41"/>
  <c r="AB24" i="41"/>
  <c r="AA24" i="41"/>
  <c r="Z24" i="41"/>
  <c r="B24" i="41"/>
  <c r="A24" i="41"/>
  <c r="AC23" i="41"/>
  <c r="AB23" i="41"/>
  <c r="AA23" i="41"/>
  <c r="Z23" i="41"/>
  <c r="B23" i="41"/>
  <c r="A23" i="41"/>
  <c r="AC22" i="41"/>
  <c r="AB22" i="41"/>
  <c r="AA22" i="41"/>
  <c r="Z22" i="41"/>
  <c r="B22" i="41"/>
  <c r="A22" i="41"/>
  <c r="AC21" i="41"/>
  <c r="AB21" i="41"/>
  <c r="AA21" i="41"/>
  <c r="Z21" i="41"/>
  <c r="B21" i="41"/>
  <c r="A21" i="41"/>
  <c r="AC20" i="41"/>
  <c r="AB20" i="41"/>
  <c r="AA20" i="41"/>
  <c r="Z20" i="41"/>
  <c r="B20" i="41"/>
  <c r="A20" i="41"/>
  <c r="AC19" i="41"/>
  <c r="AB19" i="41"/>
  <c r="AA19" i="41"/>
  <c r="Z19" i="41"/>
  <c r="B19" i="41"/>
  <c r="A19" i="41"/>
  <c r="AC18" i="41"/>
  <c r="AB18" i="41"/>
  <c r="AA18" i="41"/>
  <c r="Z18" i="41"/>
  <c r="B18" i="41"/>
  <c r="A18" i="41"/>
  <c r="AC17" i="41"/>
  <c r="AB17" i="41"/>
  <c r="AA17" i="41"/>
  <c r="Z17" i="41"/>
  <c r="B17" i="41"/>
  <c r="A17" i="41"/>
  <c r="AC16" i="41"/>
  <c r="AB16" i="41"/>
  <c r="AA16" i="41"/>
  <c r="Z16" i="41"/>
  <c r="B16" i="41"/>
  <c r="A16" i="41"/>
  <c r="AC15" i="41"/>
  <c r="AB15" i="41"/>
  <c r="AA15" i="41"/>
  <c r="Z15" i="41"/>
  <c r="B15" i="41"/>
  <c r="A15" i="41"/>
  <c r="AC14" i="41"/>
  <c r="AB14" i="41"/>
  <c r="AA14" i="41"/>
  <c r="Z14" i="41"/>
  <c r="B14" i="41"/>
  <c r="A14" i="41"/>
  <c r="AC13" i="41"/>
  <c r="AB13" i="41"/>
  <c r="AA13" i="41"/>
  <c r="Z13" i="41"/>
  <c r="B13" i="41"/>
  <c r="A13" i="41"/>
  <c r="AC12" i="41"/>
  <c r="AB12" i="41"/>
  <c r="AA12" i="41"/>
  <c r="Z12" i="41"/>
  <c r="B12" i="41"/>
  <c r="A12" i="41"/>
  <c r="AC11" i="41"/>
  <c r="AB11" i="41"/>
  <c r="AA11" i="41"/>
  <c r="Z11" i="41"/>
  <c r="B11" i="41"/>
  <c r="A11" i="41"/>
  <c r="AC10" i="41"/>
  <c r="AB10" i="41"/>
  <c r="AA10" i="41"/>
  <c r="Z10" i="41"/>
  <c r="B10" i="41"/>
  <c r="A10" i="41"/>
  <c r="AC9" i="41"/>
  <c r="AB9" i="41"/>
  <c r="AA9" i="41"/>
  <c r="Z9" i="41"/>
  <c r="B9" i="41"/>
  <c r="A9" i="41"/>
  <c r="AC8" i="41"/>
  <c r="AB8" i="41"/>
  <c r="AA8" i="41"/>
  <c r="Z8" i="41"/>
  <c r="B8" i="41"/>
  <c r="A8" i="41"/>
  <c r="AC7" i="41"/>
  <c r="AB7" i="41"/>
  <c r="AA7" i="41"/>
  <c r="Z7" i="41"/>
  <c r="B7" i="41"/>
  <c r="A7" i="41"/>
  <c r="X5" i="41"/>
  <c r="W5" i="41"/>
  <c r="AD4" i="41"/>
  <c r="D22" i="5"/>
  <c r="D7" i="5"/>
  <c r="D8" i="5"/>
  <c r="D9" i="5"/>
  <c r="D10" i="5"/>
  <c r="D11" i="5"/>
  <c r="D12" i="5"/>
  <c r="D13" i="5"/>
  <c r="D14" i="5"/>
  <c r="D15" i="5"/>
  <c r="D16" i="5"/>
  <c r="D17" i="5"/>
  <c r="D18" i="5"/>
  <c r="D19" i="5"/>
  <c r="D20" i="5"/>
  <c r="D21"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C9" i="27"/>
  <c r="N19" i="27"/>
  <c r="N18" i="27"/>
  <c r="N17" i="27"/>
  <c r="M19" i="27"/>
  <c r="M18" i="27"/>
  <c r="M17" i="27"/>
  <c r="L19" i="27"/>
  <c r="L18" i="27"/>
  <c r="L17" i="27"/>
  <c r="I19" i="27"/>
  <c r="I18" i="27"/>
  <c r="I17" i="27"/>
  <c r="H19" i="27"/>
  <c r="H18" i="27"/>
  <c r="H17" i="27"/>
  <c r="G19" i="27"/>
  <c r="G18" i="27"/>
  <c r="G17" i="27"/>
  <c r="D19" i="27"/>
  <c r="D18" i="27"/>
  <c r="D17" i="27"/>
  <c r="D15" i="27"/>
  <c r="D12" i="27"/>
  <c r="C19" i="27"/>
  <c r="C18" i="27"/>
  <c r="C17" i="27"/>
  <c r="C16" i="27"/>
  <c r="Q20" i="27"/>
  <c r="B19" i="27"/>
  <c r="B18" i="27"/>
  <c r="B17" i="27"/>
  <c r="B16" i="27"/>
  <c r="H15" i="27"/>
  <c r="C15" i="27"/>
  <c r="B15" i="27"/>
  <c r="C14" i="27"/>
  <c r="B14" i="27"/>
  <c r="C13" i="27"/>
  <c r="B13" i="27"/>
  <c r="C12" i="27"/>
  <c r="B12" i="27"/>
  <c r="D11" i="27"/>
  <c r="C11" i="27"/>
  <c r="B11" i="27"/>
  <c r="C10" i="27"/>
  <c r="B10" i="27"/>
  <c r="D9" i="27"/>
  <c r="C8" i="27"/>
  <c r="B8" i="27"/>
  <c r="D7" i="27"/>
  <c r="C7" i="27"/>
  <c r="D6" i="5"/>
  <c r="AF174" i="74" l="1"/>
  <c r="AF172" i="74"/>
  <c r="AF170" i="74"/>
  <c r="AD157" i="41"/>
  <c r="AD169" i="73"/>
  <c r="AD173" i="73"/>
  <c r="AD163" i="73"/>
  <c r="AD167" i="73"/>
  <c r="AD171" i="73"/>
  <c r="AD162" i="73"/>
  <c r="AD157" i="73"/>
  <c r="AD170" i="73"/>
  <c r="AD176" i="72"/>
  <c r="AD163" i="72"/>
  <c r="AD172" i="72"/>
  <c r="AD162" i="72"/>
  <c r="AD167" i="72"/>
  <c r="AD170" i="72"/>
  <c r="AD175" i="72"/>
  <c r="AD157" i="71"/>
  <c r="AD173" i="71"/>
  <c r="AD163" i="71"/>
  <c r="AD164" i="70"/>
  <c r="AD169" i="70"/>
  <c r="AD172" i="70"/>
  <c r="AD157" i="70"/>
  <c r="AD163" i="69"/>
  <c r="AD171" i="69"/>
  <c r="AD170" i="69"/>
  <c r="AD164" i="68"/>
  <c r="AD172" i="68"/>
  <c r="AD160" i="51"/>
  <c r="AD168" i="51"/>
  <c r="AD176" i="51"/>
  <c r="AD167" i="51"/>
  <c r="AD163" i="41"/>
  <c r="AD171" i="41"/>
  <c r="AD164" i="74"/>
  <c r="AD172" i="74"/>
  <c r="AD159" i="74"/>
  <c r="AD163" i="74"/>
  <c r="AD176" i="74"/>
  <c r="AD167" i="74"/>
  <c r="AD171" i="74"/>
  <c r="Z98" i="74"/>
  <c r="Z102" i="74"/>
  <c r="Z106" i="74"/>
  <c r="Z110" i="74"/>
  <c r="AD110" i="74" s="1"/>
  <c r="Z114" i="74"/>
  <c r="AD114" i="74" s="1"/>
  <c r="Z118" i="74"/>
  <c r="AD118" i="74" s="1"/>
  <c r="Z122" i="74"/>
  <c r="AD122" i="74" s="1"/>
  <c r="Z126" i="74"/>
  <c r="AD126" i="74" s="1"/>
  <c r="Z130" i="74"/>
  <c r="AD130" i="74" s="1"/>
  <c r="Z134" i="74"/>
  <c r="Z138" i="74"/>
  <c r="Z142" i="74"/>
  <c r="Z146" i="74"/>
  <c r="Z150" i="74"/>
  <c r="Z154" i="74"/>
  <c r="AD154" i="74" s="1"/>
  <c r="AD111" i="73"/>
  <c r="AD124" i="73"/>
  <c r="AD128" i="73"/>
  <c r="Z96" i="73"/>
  <c r="AD96" i="73" s="1"/>
  <c r="Z94" i="73"/>
  <c r="AD102" i="73"/>
  <c r="Z108" i="73"/>
  <c r="AD108" i="73" s="1"/>
  <c r="Z112" i="73"/>
  <c r="AD112" i="73" s="1"/>
  <c r="AD119" i="73"/>
  <c r="Z125" i="73"/>
  <c r="AD125" i="73" s="1"/>
  <c r="Z129" i="73"/>
  <c r="AD129" i="73" s="1"/>
  <c r="Z133" i="73"/>
  <c r="AD133" i="73" s="1"/>
  <c r="Z137" i="73"/>
  <c r="Z141" i="73"/>
  <c r="AD141" i="73" s="1"/>
  <c r="Z145" i="73"/>
  <c r="AD145" i="73" s="1"/>
  <c r="Z149" i="73"/>
  <c r="AD149" i="73" s="1"/>
  <c r="Z153" i="73"/>
  <c r="Z99" i="73"/>
  <c r="AD99" i="73" s="1"/>
  <c r="Z103" i="73"/>
  <c r="AD103" i="73" s="1"/>
  <c r="AD110" i="73"/>
  <c r="Z116" i="73"/>
  <c r="AD116" i="73" s="1"/>
  <c r="Z120" i="73"/>
  <c r="AD120" i="73" s="1"/>
  <c r="AD127" i="73"/>
  <c r="AD104" i="72"/>
  <c r="Z106" i="72"/>
  <c r="AD106" i="72" s="1"/>
  <c r="Z110" i="72"/>
  <c r="AD110" i="72" s="1"/>
  <c r="Z123" i="72"/>
  <c r="AD123" i="72" s="1"/>
  <c r="Z127" i="72"/>
  <c r="AD127" i="72" s="1"/>
  <c r="AD134" i="72"/>
  <c r="Z140" i="72"/>
  <c r="AD140" i="72" s="1"/>
  <c r="Z144" i="72"/>
  <c r="AD151" i="72"/>
  <c r="AD144" i="72"/>
  <c r="AD135" i="72"/>
  <c r="AD152" i="72"/>
  <c r="Z96" i="72"/>
  <c r="AD96" i="72" s="1"/>
  <c r="AD126" i="72"/>
  <c r="AD143" i="72"/>
  <c r="Z101" i="72"/>
  <c r="AD101" i="72" s="1"/>
  <c r="Z105" i="72"/>
  <c r="AD105" i="72" s="1"/>
  <c r="AD112" i="72"/>
  <c r="Z114" i="72"/>
  <c r="AD114" i="72" s="1"/>
  <c r="Z118" i="72"/>
  <c r="AD118" i="72" s="1"/>
  <c r="Z131" i="72"/>
  <c r="AD131" i="72" s="1"/>
  <c r="Z135" i="72"/>
  <c r="AD142" i="72"/>
  <c r="Z148" i="72"/>
  <c r="AD148" i="72" s="1"/>
  <c r="Z152" i="72"/>
  <c r="Z96" i="71"/>
  <c r="AD96" i="71" s="1"/>
  <c r="AD142" i="71"/>
  <c r="AD120" i="71"/>
  <c r="AD111" i="71"/>
  <c r="AD128" i="71"/>
  <c r="Z94" i="71"/>
  <c r="AD102" i="71"/>
  <c r="Z108" i="71"/>
  <c r="AD108" i="71" s="1"/>
  <c r="Z112" i="71"/>
  <c r="AD112" i="71" s="1"/>
  <c r="AD119" i="71"/>
  <c r="Z125" i="71"/>
  <c r="AD125" i="71" s="1"/>
  <c r="Z129" i="71"/>
  <c r="AD129" i="71" s="1"/>
  <c r="AD136" i="71"/>
  <c r="Z138" i="71"/>
  <c r="AD138" i="71" s="1"/>
  <c r="Z142" i="71"/>
  <c r="Z155" i="71"/>
  <c r="AD155" i="71" s="1"/>
  <c r="Z99" i="71"/>
  <c r="AD99" i="71" s="1"/>
  <c r="Z103" i="71"/>
  <c r="AD103" i="71" s="1"/>
  <c r="AD110" i="71"/>
  <c r="Z116" i="71"/>
  <c r="AD116" i="71" s="1"/>
  <c r="Z120" i="71"/>
  <c r="AD127" i="71"/>
  <c r="Z133" i="71"/>
  <c r="AD133" i="71" s="1"/>
  <c r="Z137" i="71"/>
  <c r="AD137" i="71" s="1"/>
  <c r="AD144" i="71"/>
  <c r="Z146" i="71"/>
  <c r="AD146" i="71" s="1"/>
  <c r="Z150" i="71"/>
  <c r="AD150" i="71" s="1"/>
  <c r="AD127" i="70"/>
  <c r="AD101" i="70"/>
  <c r="AD135" i="70"/>
  <c r="Z96" i="70"/>
  <c r="AD96" i="70" s="1"/>
  <c r="Z102" i="70"/>
  <c r="AD102" i="70" s="1"/>
  <c r="AD109" i="70"/>
  <c r="Z115" i="70"/>
  <c r="AD115" i="70" s="1"/>
  <c r="Z119" i="70"/>
  <c r="AD126" i="70"/>
  <c r="Z132" i="70"/>
  <c r="AD132" i="70" s="1"/>
  <c r="Z136" i="70"/>
  <c r="AD136" i="70" s="1"/>
  <c r="AD143" i="70"/>
  <c r="Z149" i="70"/>
  <c r="AD149" i="70" s="1"/>
  <c r="Z153" i="70"/>
  <c r="AD153" i="70" s="1"/>
  <c r="AD156" i="70"/>
  <c r="AD119" i="70"/>
  <c r="AD144" i="70"/>
  <c r="AD118" i="70"/>
  <c r="AD148" i="70"/>
  <c r="AD152" i="70"/>
  <c r="AD100" i="70"/>
  <c r="AD104" i="70"/>
  <c r="Z106" i="70"/>
  <c r="AD106" i="70" s="1"/>
  <c r="Z110" i="70"/>
  <c r="AD110" i="70" s="1"/>
  <c r="AD117" i="70"/>
  <c r="Z123" i="70"/>
  <c r="AD123" i="70" s="1"/>
  <c r="Z127" i="70"/>
  <c r="AD134" i="70"/>
  <c r="Z140" i="70"/>
  <c r="AD140" i="70" s="1"/>
  <c r="Z144" i="70"/>
  <c r="AD151" i="70"/>
  <c r="AD108" i="69"/>
  <c r="AD112" i="69"/>
  <c r="AD125" i="69"/>
  <c r="AD142" i="69"/>
  <c r="Z96" i="69"/>
  <c r="AD96" i="69" s="1"/>
  <c r="AD100" i="69"/>
  <c r="AD103" i="69"/>
  <c r="Z109" i="69"/>
  <c r="AD109" i="69" s="1"/>
  <c r="Z113" i="69"/>
  <c r="AD113" i="69" s="1"/>
  <c r="AD116" i="69"/>
  <c r="AD120" i="69"/>
  <c r="Z122" i="69"/>
  <c r="AD122" i="69" s="1"/>
  <c r="Z126" i="69"/>
  <c r="AD126" i="69" s="1"/>
  <c r="AD133" i="69"/>
  <c r="Z139" i="69"/>
  <c r="AD139" i="69" s="1"/>
  <c r="Z143" i="69"/>
  <c r="AD143" i="69" s="1"/>
  <c r="AD150" i="69"/>
  <c r="Z156" i="69"/>
  <c r="AD156" i="69" s="1"/>
  <c r="Z100" i="69"/>
  <c r="Z104" i="69"/>
  <c r="AD104" i="69" s="1"/>
  <c r="AD111" i="69"/>
  <c r="Z117" i="69"/>
  <c r="AD117" i="69" s="1"/>
  <c r="Z121" i="69"/>
  <c r="AD121" i="69" s="1"/>
  <c r="AD124" i="69"/>
  <c r="AD128" i="69"/>
  <c r="Z130" i="69"/>
  <c r="AD130" i="69" s="1"/>
  <c r="Z134" i="69"/>
  <c r="AD134" i="69" s="1"/>
  <c r="AD141" i="69"/>
  <c r="Z147" i="69"/>
  <c r="AD147" i="69" s="1"/>
  <c r="Z151" i="69"/>
  <c r="AD151" i="69" s="1"/>
  <c r="Z94" i="68"/>
  <c r="AD102" i="68"/>
  <c r="Z108" i="68"/>
  <c r="Z112" i="68"/>
  <c r="AD119" i="68"/>
  <c r="Z125" i="68"/>
  <c r="Z129" i="68"/>
  <c r="AD129" i="68" s="1"/>
  <c r="AD132" i="68"/>
  <c r="AD136" i="68"/>
  <c r="Z138" i="68"/>
  <c r="AD138" i="68" s="1"/>
  <c r="Z142" i="68"/>
  <c r="AD149" i="68"/>
  <c r="Z155" i="68"/>
  <c r="AD155" i="68" s="1"/>
  <c r="AD108" i="68"/>
  <c r="AD112" i="68"/>
  <c r="AD125" i="68"/>
  <c r="AD150" i="68"/>
  <c r="AD124" i="68"/>
  <c r="Z99" i="68"/>
  <c r="AD99" i="68" s="1"/>
  <c r="Z103" i="68"/>
  <c r="AD103" i="68" s="1"/>
  <c r="AD110" i="68"/>
  <c r="Z116" i="68"/>
  <c r="AD116" i="68" s="1"/>
  <c r="Z120" i="68"/>
  <c r="AD120" i="68" s="1"/>
  <c r="AD127" i="68"/>
  <c r="Z133" i="68"/>
  <c r="AD133" i="68" s="1"/>
  <c r="Z137" i="68"/>
  <c r="AD137" i="68" s="1"/>
  <c r="AD140" i="68"/>
  <c r="AD144" i="68"/>
  <c r="Z146" i="68"/>
  <c r="AD146" i="68" s="1"/>
  <c r="Z150" i="68"/>
  <c r="AD142" i="68"/>
  <c r="AD111" i="68"/>
  <c r="AD128" i="68"/>
  <c r="AD101" i="68"/>
  <c r="Z107" i="68"/>
  <c r="AD107" i="68" s="1"/>
  <c r="Z111" i="68"/>
  <c r="AD118" i="68"/>
  <c r="Z124" i="68"/>
  <c r="Z128" i="68"/>
  <c r="AD135" i="68"/>
  <c r="Z141" i="68"/>
  <c r="AD141" i="68" s="1"/>
  <c r="Z145" i="68"/>
  <c r="AD145" i="68" s="1"/>
  <c r="AD148" i="68"/>
  <c r="AD152" i="68"/>
  <c r="Z154" i="68"/>
  <c r="AD154" i="68" s="1"/>
  <c r="Z96" i="67"/>
  <c r="AD96" i="67" s="1"/>
  <c r="W177" i="67"/>
  <c r="Z100" i="67"/>
  <c r="AD100" i="67" s="1"/>
  <c r="Z104" i="67"/>
  <c r="AD104" i="67" s="1"/>
  <c r="Z108" i="67"/>
  <c r="AD108" i="67" s="1"/>
  <c r="Z112" i="67"/>
  <c r="AD112" i="67" s="1"/>
  <c r="Z116" i="67"/>
  <c r="AD116" i="67" s="1"/>
  <c r="Z120" i="67"/>
  <c r="AD120" i="67" s="1"/>
  <c r="Z124" i="67"/>
  <c r="AD124" i="67" s="1"/>
  <c r="Z128" i="67"/>
  <c r="AD128" i="67" s="1"/>
  <c r="Z132" i="67"/>
  <c r="AD132" i="67" s="1"/>
  <c r="Z136" i="67"/>
  <c r="AD136" i="67" s="1"/>
  <c r="Z140" i="67"/>
  <c r="AD140" i="67" s="1"/>
  <c r="Z144" i="67"/>
  <c r="AD144" i="67" s="1"/>
  <c r="Z148" i="67"/>
  <c r="AD148" i="67" s="1"/>
  <c r="Z152" i="67"/>
  <c r="AD152" i="67" s="1"/>
  <c r="Z156" i="67"/>
  <c r="AD156" i="67" s="1"/>
  <c r="Z96" i="51"/>
  <c r="AD96" i="51" s="1"/>
  <c r="AD105" i="51"/>
  <c r="AD109" i="51"/>
  <c r="Z147" i="51"/>
  <c r="Z151" i="51"/>
  <c r="AD151" i="51" s="1"/>
  <c r="AD100" i="51"/>
  <c r="Z106" i="51"/>
  <c r="AD106" i="51" s="1"/>
  <c r="Z110" i="51"/>
  <c r="AD110" i="51" s="1"/>
  <c r="AD113" i="51"/>
  <c r="AD101" i="51"/>
  <c r="Z101" i="51"/>
  <c r="AD108" i="51"/>
  <c r="Z114" i="51"/>
  <c r="AD114" i="51" s="1"/>
  <c r="Z118" i="51"/>
  <c r="AD118" i="51" s="1"/>
  <c r="Z122" i="51"/>
  <c r="AD122" i="51" s="1"/>
  <c r="Z126" i="51"/>
  <c r="AD126" i="51" s="1"/>
  <c r="Z130" i="51"/>
  <c r="AD130" i="51" s="1"/>
  <c r="Z134" i="51"/>
  <c r="AD134" i="51" s="1"/>
  <c r="Z138" i="51"/>
  <c r="AD138" i="51" s="1"/>
  <c r="Z142" i="51"/>
  <c r="AD142" i="51" s="1"/>
  <c r="Z146" i="51"/>
  <c r="AD146" i="51" s="1"/>
  <c r="Z150" i="51"/>
  <c r="AD150" i="51" s="1"/>
  <c r="Z154" i="51"/>
  <c r="AD154" i="51" s="1"/>
  <c r="AD94" i="74"/>
  <c r="AD134" i="74"/>
  <c r="AD146" i="74"/>
  <c r="AD102" i="74"/>
  <c r="AD106" i="74"/>
  <c r="AD138" i="74"/>
  <c r="AD142" i="74"/>
  <c r="Z95" i="74"/>
  <c r="AD101" i="74"/>
  <c r="AD105" i="74"/>
  <c r="AD109" i="74"/>
  <c r="AD113" i="74"/>
  <c r="AD117" i="74"/>
  <c r="AD121" i="74"/>
  <c r="AD125" i="74"/>
  <c r="AD129" i="74"/>
  <c r="AD133" i="74"/>
  <c r="AD137" i="74"/>
  <c r="AD141" i="74"/>
  <c r="AD145" i="74"/>
  <c r="AD149" i="74"/>
  <c r="AD153" i="74"/>
  <c r="AD98" i="74"/>
  <c r="AD150" i="74"/>
  <c r="AD137" i="73"/>
  <c r="AD132" i="73"/>
  <c r="AD136" i="73"/>
  <c r="AD140" i="73"/>
  <c r="AD144" i="73"/>
  <c r="AD148" i="73"/>
  <c r="AD152" i="73"/>
  <c r="AD156" i="73"/>
  <c r="AD153" i="73"/>
  <c r="AD94" i="73"/>
  <c r="Z95" i="73"/>
  <c r="AD131" i="73"/>
  <c r="AD135" i="73"/>
  <c r="AD139" i="73"/>
  <c r="AD143" i="73"/>
  <c r="AD147" i="73"/>
  <c r="AD151" i="73"/>
  <c r="AD155" i="73"/>
  <c r="Z98" i="72"/>
  <c r="AD98" i="72" s="1"/>
  <c r="Z94" i="72"/>
  <c r="Z95" i="72"/>
  <c r="Z91" i="72"/>
  <c r="Z98" i="71"/>
  <c r="AD98" i="71" s="1"/>
  <c r="Z95" i="71"/>
  <c r="AD94" i="71"/>
  <c r="Z91" i="71"/>
  <c r="Z98" i="70"/>
  <c r="AD98" i="70" s="1"/>
  <c r="AD94" i="70"/>
  <c r="Z95" i="70"/>
  <c r="Z98" i="69"/>
  <c r="AD98" i="69" s="1"/>
  <c r="AD94" i="69"/>
  <c r="Z95" i="69"/>
  <c r="Z98" i="68"/>
  <c r="AD98" i="68" s="1"/>
  <c r="W177" i="68"/>
  <c r="AD94" i="68"/>
  <c r="Z95" i="68"/>
  <c r="AD94" i="67"/>
  <c r="Z95" i="67"/>
  <c r="AD94" i="51"/>
  <c r="AD120" i="51"/>
  <c r="AD124" i="51"/>
  <c r="AD128" i="51"/>
  <c r="AD132" i="51"/>
  <c r="AD136" i="51"/>
  <c r="AD140" i="51"/>
  <c r="AD144" i="51"/>
  <c r="AD148" i="51"/>
  <c r="AD152" i="51"/>
  <c r="AD156" i="51"/>
  <c r="AD115" i="51"/>
  <c r="AD119" i="51"/>
  <c r="AD123" i="51"/>
  <c r="AD127" i="51"/>
  <c r="AD131" i="51"/>
  <c r="AD135" i="51"/>
  <c r="AD139" i="51"/>
  <c r="AD143" i="51"/>
  <c r="AD147" i="51"/>
  <c r="AD155" i="51"/>
  <c r="Z95" i="51"/>
  <c r="AD170" i="41"/>
  <c r="AD169" i="41"/>
  <c r="AD161" i="41"/>
  <c r="AD97" i="41"/>
  <c r="AD162" i="41"/>
  <c r="AD176" i="41"/>
  <c r="AD168" i="41"/>
  <c r="AD160" i="41"/>
  <c r="AD175" i="41"/>
  <c r="AD167" i="41"/>
  <c r="AD159" i="41"/>
  <c r="AD174" i="41"/>
  <c r="AD166" i="41"/>
  <c r="AD158" i="41"/>
  <c r="Z98" i="41"/>
  <c r="AD98" i="41" s="1"/>
  <c r="Z99" i="41"/>
  <c r="AD99" i="41" s="1"/>
  <c r="Z101" i="41"/>
  <c r="AD101" i="41" s="1"/>
  <c r="Z104" i="41"/>
  <c r="AD104" i="41" s="1"/>
  <c r="Z109" i="41"/>
  <c r="AD109" i="41" s="1"/>
  <c r="Z113" i="41"/>
  <c r="AD113" i="41" s="1"/>
  <c r="Z123" i="41"/>
  <c r="AD123" i="41" s="1"/>
  <c r="Z128" i="41"/>
  <c r="AD128" i="41" s="1"/>
  <c r="Z130" i="41"/>
  <c r="AD130" i="41" s="1"/>
  <c r="Z133" i="41"/>
  <c r="AD133" i="41" s="1"/>
  <c r="Z137" i="41"/>
  <c r="AD137" i="41" s="1"/>
  <c r="Z140" i="41"/>
  <c r="AD140" i="41" s="1"/>
  <c r="Z142" i="41"/>
  <c r="AD142" i="41" s="1"/>
  <c r="Z143" i="41"/>
  <c r="AD143" i="41" s="1"/>
  <c r="Z144" i="41"/>
  <c r="AD144" i="41" s="1"/>
  <c r="Z155" i="41"/>
  <c r="AD155" i="41" s="1"/>
  <c r="Z56" i="41"/>
  <c r="Z156" i="41"/>
  <c r="AD156" i="41" s="1"/>
  <c r="Z126" i="41"/>
  <c r="AD126" i="41" s="1"/>
  <c r="Z141" i="41"/>
  <c r="AD141" i="41" s="1"/>
  <c r="Z106" i="41"/>
  <c r="AD106" i="41" s="1"/>
  <c r="Z118" i="41"/>
  <c r="AD118" i="41" s="1"/>
  <c r="Z146" i="41"/>
  <c r="AD146" i="41" s="1"/>
  <c r="Z150" i="41"/>
  <c r="AD150" i="41" s="1"/>
  <c r="Z114" i="41"/>
  <c r="AD114" i="41" s="1"/>
  <c r="Z103" i="41"/>
  <c r="AD103" i="41" s="1"/>
  <c r="Z111" i="41"/>
  <c r="AD111" i="41" s="1"/>
  <c r="Z119" i="41"/>
  <c r="AD119" i="41" s="1"/>
  <c r="Z127" i="41"/>
  <c r="AD127" i="41" s="1"/>
  <c r="Z154" i="41"/>
  <c r="AD154" i="41" s="1"/>
  <c r="Z100" i="41"/>
  <c r="AD100" i="41" s="1"/>
  <c r="Z132" i="41"/>
  <c r="AD132" i="41" s="1"/>
  <c r="Z145" i="41"/>
  <c r="AD145" i="41" s="1"/>
  <c r="Z95" i="41"/>
  <c r="AD95" i="41" s="1"/>
  <c r="Z110" i="41"/>
  <c r="AD110" i="41" s="1"/>
  <c r="Z115" i="41"/>
  <c r="AD115" i="41" s="1"/>
  <c r="Z122" i="41"/>
  <c r="AD122" i="41" s="1"/>
  <c r="Z116" i="41"/>
  <c r="AD116" i="41" s="1"/>
  <c r="Z125" i="41"/>
  <c r="AD125" i="41" s="1"/>
  <c r="Z134" i="41"/>
  <c r="AD134" i="41" s="1"/>
  <c r="Z136" i="41"/>
  <c r="AD136" i="41" s="1"/>
  <c r="Z147" i="41"/>
  <c r="AD147" i="41" s="1"/>
  <c r="Z149" i="41"/>
  <c r="AD149" i="41" s="1"/>
  <c r="Z152" i="41"/>
  <c r="AD152" i="41" s="1"/>
  <c r="Z71" i="41"/>
  <c r="Z91" i="41"/>
  <c r="Z94" i="41"/>
  <c r="AD94" i="41" s="1"/>
  <c r="Z102" i="41"/>
  <c r="AD102" i="41" s="1"/>
  <c r="Z117" i="41"/>
  <c r="AD117" i="41" s="1"/>
  <c r="Z135" i="41"/>
  <c r="AD135" i="41" s="1"/>
  <c r="Z138" i="41"/>
  <c r="AD138" i="41" s="1"/>
  <c r="Z151" i="41"/>
  <c r="AD151" i="41" s="1"/>
  <c r="Z148" i="41"/>
  <c r="AD148" i="41" s="1"/>
  <c r="Z124" i="41"/>
  <c r="AD124" i="41" s="1"/>
  <c r="Z105" i="41"/>
  <c r="AD105" i="41" s="1"/>
  <c r="Z121" i="41"/>
  <c r="AD121" i="41" s="1"/>
  <c r="Z153" i="41"/>
  <c r="AD153" i="41" s="1"/>
  <c r="Z129" i="41"/>
  <c r="AD129" i="41" s="1"/>
  <c r="Z96" i="41"/>
  <c r="AD96" i="41" s="1"/>
  <c r="Z108" i="41"/>
  <c r="AD108" i="41" s="1"/>
  <c r="Z131" i="41"/>
  <c r="AD131" i="41" s="1"/>
  <c r="Z107" i="41"/>
  <c r="AD107" i="41" s="1"/>
  <c r="Z139" i="41"/>
  <c r="AD139" i="41" s="1"/>
  <c r="Z120" i="41"/>
  <c r="AD120" i="41" s="1"/>
  <c r="D16" i="27"/>
  <c r="D14" i="27"/>
  <c r="E14" i="27" s="1"/>
  <c r="D13" i="27"/>
  <c r="H11" i="27"/>
  <c r="B9" i="27"/>
  <c r="E9" i="27" s="1"/>
  <c r="D10" i="27"/>
  <c r="E10" i="27" s="1"/>
  <c r="D8" i="27"/>
  <c r="B7" i="27"/>
  <c r="E7" i="27" s="1"/>
  <c r="H8" i="27"/>
  <c r="H16" i="27"/>
  <c r="H10" i="27"/>
  <c r="H13" i="27"/>
  <c r="H12" i="27"/>
  <c r="G9" i="27"/>
  <c r="H9" i="27"/>
  <c r="C20" i="27"/>
  <c r="J19" i="27"/>
  <c r="O19" i="27"/>
  <c r="E15" i="27"/>
  <c r="E13" i="27"/>
  <c r="E16" i="27"/>
  <c r="J18" i="27"/>
  <c r="E11" i="27"/>
  <c r="E18" i="27"/>
  <c r="E19" i="27"/>
  <c r="O17" i="27"/>
  <c r="J17" i="27"/>
  <c r="O18" i="27"/>
  <c r="E12" i="27"/>
  <c r="E17" i="27"/>
  <c r="G16" i="27"/>
  <c r="G14" i="27"/>
  <c r="H14" i="27"/>
  <c r="G13" i="27"/>
  <c r="G12" i="27"/>
  <c r="G11" i="27"/>
  <c r="G10" i="27"/>
  <c r="Y4" i="67" l="1"/>
  <c r="Y4" i="74"/>
  <c r="AD95" i="74"/>
  <c r="AD177" i="74"/>
  <c r="Y4" i="73"/>
  <c r="AD95" i="73"/>
  <c r="AD177" i="73" s="1"/>
  <c r="AD95" i="72"/>
  <c r="AD94" i="72"/>
  <c r="AD177" i="72" s="1"/>
  <c r="Y4" i="72"/>
  <c r="AD95" i="71"/>
  <c r="AD177" i="71" s="1"/>
  <c r="Y4" i="71"/>
  <c r="AD95" i="70"/>
  <c r="AD177" i="70" s="1"/>
  <c r="AD95" i="69"/>
  <c r="AD177" i="69"/>
  <c r="AD95" i="68"/>
  <c r="AD177" i="68" s="1"/>
  <c r="AD95" i="67"/>
  <c r="AD177" i="67"/>
  <c r="AD95" i="51"/>
  <c r="AD177" i="51" s="1"/>
  <c r="AE178" i="41"/>
  <c r="AE178" i="51" s="1"/>
  <c r="AE178" i="67" s="1"/>
  <c r="AE178" i="68" s="1"/>
  <c r="AE178" i="69" s="1"/>
  <c r="AE178" i="70" s="1"/>
  <c r="AE178" i="71" s="1"/>
  <c r="AE178" i="72" s="1"/>
  <c r="AE178" i="73" s="1"/>
  <c r="AE178" i="74" s="1"/>
  <c r="I16" i="27"/>
  <c r="J16" i="27" s="1"/>
  <c r="I15" i="27"/>
  <c r="G15" i="27"/>
  <c r="I14" i="27"/>
  <c r="J14" i="27" s="1"/>
  <c r="I13" i="27"/>
  <c r="J13" i="27" s="1"/>
  <c r="I12" i="27"/>
  <c r="J12" i="27" s="1"/>
  <c r="I11" i="27"/>
  <c r="J11" i="27" s="1"/>
  <c r="D20" i="27"/>
  <c r="E8" i="27"/>
  <c r="E20" i="27" s="1"/>
  <c r="B20" i="27"/>
  <c r="J10" i="27"/>
  <c r="I10" i="27"/>
  <c r="I8" i="27"/>
  <c r="I9" i="27"/>
  <c r="J9" i="27" s="1"/>
  <c r="G8" i="27"/>
  <c r="Y4" i="70" l="1"/>
  <c r="Y4" i="69"/>
  <c r="Y4" i="68"/>
  <c r="Y4" i="41"/>
  <c r="Y4" i="51"/>
  <c r="J15" i="27"/>
  <c r="J8" i="27"/>
  <c r="I7" i="27"/>
  <c r="I20" i="27" s="1"/>
  <c r="G7" i="27"/>
  <c r="G20" i="27" s="1"/>
  <c r="I16" i="26"/>
  <c r="H16" i="26"/>
  <c r="F16" i="26"/>
  <c r="E16" i="26"/>
  <c r="C16" i="26"/>
  <c r="B16" i="26"/>
  <c r="I34" i="24" l="1"/>
  <c r="H34" i="24"/>
  <c r="I33" i="24"/>
  <c r="H33" i="24"/>
  <c r="I32" i="24"/>
  <c r="H32" i="24"/>
  <c r="I31" i="24"/>
  <c r="H31" i="24"/>
  <c r="I30" i="24"/>
  <c r="H30" i="24"/>
  <c r="I29" i="24"/>
  <c r="H29" i="24"/>
  <c r="I28" i="24"/>
  <c r="H28" i="24"/>
  <c r="I27" i="24"/>
  <c r="H27" i="24"/>
  <c r="I26" i="24"/>
  <c r="H26" i="24"/>
  <c r="I25" i="24"/>
  <c r="H25" i="24"/>
  <c r="I24" i="24"/>
  <c r="H24" i="24"/>
  <c r="I23" i="24"/>
  <c r="H23" i="24"/>
  <c r="I22" i="24"/>
  <c r="H22" i="24"/>
  <c r="I21" i="24"/>
  <c r="H21" i="24"/>
  <c r="I20" i="24"/>
  <c r="H20" i="24"/>
  <c r="I19" i="24"/>
  <c r="H19" i="24"/>
  <c r="I18" i="24"/>
  <c r="H18" i="24"/>
  <c r="I17" i="24"/>
  <c r="H17" i="24"/>
  <c r="I16" i="24"/>
  <c r="H16" i="24"/>
  <c r="I15" i="24"/>
  <c r="H15" i="24"/>
  <c r="I14" i="24"/>
  <c r="H14" i="24"/>
  <c r="I13" i="24"/>
  <c r="H13" i="24"/>
  <c r="I12" i="24"/>
  <c r="H12" i="24"/>
  <c r="I11" i="24"/>
  <c r="H11" i="24"/>
  <c r="E10" i="24"/>
  <c r="E11" i="24"/>
  <c r="E12" i="24"/>
  <c r="E13" i="24"/>
  <c r="E14" i="24"/>
  <c r="E15" i="24"/>
  <c r="E16" i="24"/>
  <c r="E17" i="24"/>
  <c r="E18" i="24"/>
  <c r="E19" i="24"/>
  <c r="E20" i="24"/>
  <c r="E21" i="24"/>
  <c r="E22" i="24"/>
  <c r="E23" i="24"/>
  <c r="E24" i="24"/>
  <c r="E25" i="24"/>
  <c r="E26" i="24"/>
  <c r="E27" i="24"/>
  <c r="E28" i="24"/>
  <c r="E29" i="24"/>
  <c r="E30" i="24"/>
  <c r="E31" i="24"/>
  <c r="E32" i="24"/>
  <c r="E33" i="24"/>
  <c r="I8" i="24"/>
  <c r="I9" i="24"/>
  <c r="I10" i="24"/>
  <c r="D10" i="24"/>
  <c r="D11" i="24"/>
  <c r="D12" i="24"/>
  <c r="D13" i="24"/>
  <c r="D14" i="24"/>
  <c r="D15" i="24"/>
  <c r="D16" i="24"/>
  <c r="D17" i="24"/>
  <c r="D18" i="24"/>
  <c r="D19" i="24"/>
  <c r="D20" i="24"/>
  <c r="D21" i="24"/>
  <c r="D22" i="24"/>
  <c r="D23" i="24"/>
  <c r="D24" i="24"/>
  <c r="D25" i="24"/>
  <c r="D26" i="24"/>
  <c r="D27" i="24"/>
  <c r="D28" i="24"/>
  <c r="D29" i="24"/>
  <c r="D30" i="24"/>
  <c r="D31" i="24"/>
  <c r="D32" i="24"/>
  <c r="D33" i="24"/>
  <c r="H8" i="24"/>
  <c r="H9" i="24"/>
  <c r="H10" i="24"/>
  <c r="E90" i="5"/>
  <c r="B5" i="1"/>
  <c r="B4"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3" i="1"/>
  <c r="P54" i="1"/>
  <c r="H5" i="1"/>
  <c r="J5" i="1"/>
  <c r="N62" i="1"/>
  <c r="N58" i="1"/>
  <c r="N57"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L63" i="1"/>
  <c r="L62" i="1"/>
  <c r="L59" i="1"/>
  <c r="L56"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J62" i="1"/>
  <c r="J60" i="1"/>
  <c r="J59" i="1"/>
  <c r="J57" i="1"/>
  <c r="J56" i="1"/>
  <c r="J54"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H63" i="1"/>
  <c r="H58" i="1"/>
  <c r="H56"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F63" i="1"/>
  <c r="F59" i="1"/>
  <c r="F57" i="1"/>
  <c r="F55" i="1"/>
  <c r="F53"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T8" i="1"/>
  <c r="R8" i="1"/>
  <c r="P8" i="1"/>
  <c r="N8" i="1"/>
  <c r="L8" i="1"/>
  <c r="J8" i="1"/>
  <c r="H8" i="1"/>
  <c r="X5" i="1"/>
  <c r="X6" i="1"/>
  <c r="V6" i="1"/>
  <c r="T6" i="1"/>
  <c r="R6" i="1"/>
  <c r="P6" i="1"/>
  <c r="N6" i="1"/>
  <c r="L6" i="1"/>
  <c r="J6" i="1"/>
  <c r="H6" i="1"/>
  <c r="V5" i="1"/>
  <c r="T5" i="1"/>
  <c r="R5" i="1"/>
  <c r="P5" i="1"/>
  <c r="N5" i="1"/>
  <c r="L5" i="1"/>
  <c r="F8" i="1"/>
  <c r="B10" i="1"/>
  <c r="C10" i="1"/>
  <c r="D10" i="1"/>
  <c r="B11" i="1"/>
  <c r="C11" i="1"/>
  <c r="D11" i="1"/>
  <c r="B12" i="1"/>
  <c r="C12" i="1"/>
  <c r="D12" i="1"/>
  <c r="B13" i="1"/>
  <c r="C13" i="1"/>
  <c r="D13" i="1"/>
  <c r="B14" i="1"/>
  <c r="C14" i="1"/>
  <c r="D14" i="1"/>
  <c r="B15" i="1"/>
  <c r="C15" i="1"/>
  <c r="D15" i="1"/>
  <c r="B16" i="1"/>
  <c r="C16" i="1"/>
  <c r="D16" i="1"/>
  <c r="B17" i="1"/>
  <c r="C17" i="1"/>
  <c r="D17" i="1"/>
  <c r="B18" i="1"/>
  <c r="C18" i="1"/>
  <c r="D18" i="1"/>
  <c r="B19" i="1"/>
  <c r="C19" i="1"/>
  <c r="D19" i="1"/>
  <c r="B20" i="1"/>
  <c r="C20" i="1"/>
  <c r="D20" i="1"/>
  <c r="B21" i="1"/>
  <c r="C21" i="1"/>
  <c r="D21" i="1"/>
  <c r="B22" i="1"/>
  <c r="C22" i="1"/>
  <c r="D22" i="1"/>
  <c r="B23" i="1"/>
  <c r="C23" i="1"/>
  <c r="D23" i="1"/>
  <c r="B24" i="1"/>
  <c r="C24" i="1"/>
  <c r="D24" i="1"/>
  <c r="B25" i="1"/>
  <c r="C25" i="1"/>
  <c r="D25" i="1"/>
  <c r="B26" i="1"/>
  <c r="C26" i="1"/>
  <c r="D26" i="1"/>
  <c r="B27" i="1"/>
  <c r="C27" i="1"/>
  <c r="D27" i="1"/>
  <c r="B28" i="1"/>
  <c r="C28" i="1"/>
  <c r="D28" i="1"/>
  <c r="B29" i="1"/>
  <c r="C29" i="1"/>
  <c r="D29" i="1"/>
  <c r="B30" i="1"/>
  <c r="C30" i="1"/>
  <c r="D30" i="1"/>
  <c r="B31" i="1"/>
  <c r="C31" i="1"/>
  <c r="D31" i="1"/>
  <c r="B32" i="1"/>
  <c r="C32" i="1"/>
  <c r="D32" i="1"/>
  <c r="B33" i="1"/>
  <c r="C33" i="1"/>
  <c r="D33" i="1"/>
  <c r="B34" i="1"/>
  <c r="C34" i="1"/>
  <c r="D34" i="1"/>
  <c r="B35" i="1"/>
  <c r="C35" i="1"/>
  <c r="D35" i="1"/>
  <c r="B36" i="1"/>
  <c r="C36" i="1"/>
  <c r="D36" i="1"/>
  <c r="B37" i="1"/>
  <c r="C37" i="1"/>
  <c r="D37" i="1"/>
  <c r="B38" i="1"/>
  <c r="C38" i="1"/>
  <c r="D38" i="1"/>
  <c r="B39" i="1"/>
  <c r="C39" i="1"/>
  <c r="D39" i="1"/>
  <c r="B40" i="1"/>
  <c r="C40" i="1"/>
  <c r="D40" i="1"/>
  <c r="B41" i="1"/>
  <c r="C41" i="1"/>
  <c r="D41" i="1"/>
  <c r="B42" i="1"/>
  <c r="C42" i="1"/>
  <c r="D42" i="1"/>
  <c r="B43" i="1"/>
  <c r="C43" i="1"/>
  <c r="D43" i="1"/>
  <c r="B44" i="1"/>
  <c r="C44" i="1"/>
  <c r="D44" i="1"/>
  <c r="B45" i="1"/>
  <c r="C45" i="1"/>
  <c r="D45" i="1"/>
  <c r="B46" i="1"/>
  <c r="C46" i="1"/>
  <c r="D46" i="1"/>
  <c r="B47" i="1"/>
  <c r="C47" i="1"/>
  <c r="D47" i="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F6" i="1"/>
  <c r="F5" i="1"/>
  <c r="P52" i="1"/>
  <c r="N53" i="1"/>
  <c r="L52" i="1"/>
  <c r="J53" i="1"/>
  <c r="H52" i="1"/>
  <c r="F52" i="1"/>
  <c r="N63" i="1" l="1"/>
  <c r="J63" i="1"/>
  <c r="P63" i="1"/>
  <c r="H62" i="1"/>
  <c r="F62" i="1"/>
  <c r="P62" i="1"/>
  <c r="N61" i="1"/>
  <c r="F61" i="1"/>
  <c r="H61" i="1"/>
  <c r="J61" i="1"/>
  <c r="L61" i="1"/>
  <c r="P61" i="1"/>
  <c r="L60" i="1"/>
  <c r="F60" i="1"/>
  <c r="N60" i="1"/>
  <c r="H60" i="1"/>
  <c r="P60" i="1"/>
  <c r="H59" i="1"/>
  <c r="N59" i="1"/>
  <c r="P59" i="1"/>
  <c r="J58" i="1"/>
  <c r="F58" i="1"/>
  <c r="L58" i="1"/>
  <c r="P58" i="1"/>
  <c r="H57" i="1"/>
  <c r="L57" i="1"/>
  <c r="P57" i="1"/>
  <c r="F56" i="1"/>
  <c r="N56" i="1"/>
  <c r="P56" i="1"/>
  <c r="J55" i="1"/>
  <c r="N55" i="1"/>
  <c r="H55" i="1"/>
  <c r="L55" i="1"/>
  <c r="P55" i="1"/>
  <c r="N54" i="1"/>
  <c r="F54" i="1"/>
  <c r="L54" i="1"/>
  <c r="H54" i="1"/>
  <c r="L53" i="1"/>
  <c r="H53" i="1"/>
  <c r="T9" i="1"/>
  <c r="V51" i="1"/>
  <c r="T50" i="1"/>
  <c r="X44" i="1"/>
  <c r="V43" i="1"/>
  <c r="T42" i="1"/>
  <c r="X36" i="1"/>
  <c r="V35" i="1"/>
  <c r="T34" i="1"/>
  <c r="X28" i="1"/>
  <c r="V27" i="1"/>
  <c r="T26" i="1"/>
  <c r="X20" i="1"/>
  <c r="V19" i="1"/>
  <c r="T18" i="1"/>
  <c r="X12" i="1"/>
  <c r="V11" i="1"/>
  <c r="T10" i="1"/>
  <c r="T51" i="1"/>
  <c r="X45" i="1"/>
  <c r="V44" i="1"/>
  <c r="T43" i="1"/>
  <c r="X37" i="1"/>
  <c r="V36" i="1"/>
  <c r="T35" i="1"/>
  <c r="X29" i="1"/>
  <c r="V28" i="1"/>
  <c r="T27" i="1"/>
  <c r="X21" i="1"/>
  <c r="V20" i="1"/>
  <c r="T19" i="1"/>
  <c r="X13" i="1"/>
  <c r="V12" i="1"/>
  <c r="T11" i="1"/>
  <c r="X46" i="1"/>
  <c r="V45" i="1"/>
  <c r="T44" i="1"/>
  <c r="X38" i="1"/>
  <c r="V37" i="1"/>
  <c r="T36" i="1"/>
  <c r="X30" i="1"/>
  <c r="V29" i="1"/>
  <c r="T28" i="1"/>
  <c r="X22" i="1"/>
  <c r="V21" i="1"/>
  <c r="T20" i="1"/>
  <c r="X14" i="1"/>
  <c r="V13" i="1"/>
  <c r="T12" i="1"/>
  <c r="X47" i="1"/>
  <c r="V46" i="1"/>
  <c r="T45" i="1"/>
  <c r="X39" i="1"/>
  <c r="V38" i="1"/>
  <c r="T37" i="1"/>
  <c r="X31" i="1"/>
  <c r="V30" i="1"/>
  <c r="T29" i="1"/>
  <c r="X23" i="1"/>
  <c r="V22" i="1"/>
  <c r="T21" i="1"/>
  <c r="X15" i="1"/>
  <c r="V14" i="1"/>
  <c r="T13" i="1"/>
  <c r="X48" i="1"/>
  <c r="V47" i="1"/>
  <c r="T46" i="1"/>
  <c r="X40" i="1"/>
  <c r="V39" i="1"/>
  <c r="T38" i="1"/>
  <c r="X32" i="1"/>
  <c r="V31" i="1"/>
  <c r="T30" i="1"/>
  <c r="X24" i="1"/>
  <c r="V23" i="1"/>
  <c r="T22" i="1"/>
  <c r="X16" i="1"/>
  <c r="V15" i="1"/>
  <c r="T14" i="1"/>
  <c r="X49" i="1"/>
  <c r="V48" i="1"/>
  <c r="T47" i="1"/>
  <c r="X41" i="1"/>
  <c r="V40" i="1"/>
  <c r="T39" i="1"/>
  <c r="X33" i="1"/>
  <c r="V32" i="1"/>
  <c r="T31" i="1"/>
  <c r="X25" i="1"/>
  <c r="V24" i="1"/>
  <c r="T23" i="1"/>
  <c r="X17" i="1"/>
  <c r="V16" i="1"/>
  <c r="T15" i="1"/>
  <c r="X9" i="1"/>
  <c r="X50" i="1"/>
  <c r="V49" i="1"/>
  <c r="T48" i="1"/>
  <c r="X42" i="1"/>
  <c r="V41" i="1"/>
  <c r="T40" i="1"/>
  <c r="X34" i="1"/>
  <c r="V33" i="1"/>
  <c r="T32" i="1"/>
  <c r="X26" i="1"/>
  <c r="V25" i="1"/>
  <c r="T24" i="1"/>
  <c r="X18" i="1"/>
  <c r="V17" i="1"/>
  <c r="T16" i="1"/>
  <c r="X10" i="1"/>
  <c r="V9" i="1"/>
  <c r="X51" i="1"/>
  <c r="V50" i="1"/>
  <c r="T49" i="1"/>
  <c r="X43" i="1"/>
  <c r="V42" i="1"/>
  <c r="T41" i="1"/>
  <c r="X35" i="1"/>
  <c r="V34" i="1"/>
  <c r="T33" i="1"/>
  <c r="X27" i="1"/>
  <c r="V26" i="1"/>
  <c r="T25" i="1"/>
  <c r="X19" i="1"/>
  <c r="V18" i="1"/>
  <c r="T17" i="1"/>
  <c r="X11" i="1"/>
  <c r="V10" i="1"/>
  <c r="R64" i="1"/>
  <c r="L64" i="1" l="1"/>
  <c r="J64" i="1"/>
  <c r="N64" i="1"/>
  <c r="F64" i="1"/>
  <c r="P64" i="1"/>
  <c r="H64" i="1"/>
  <c r="V8" i="1"/>
  <c r="X8" i="1"/>
  <c r="T52" i="1"/>
  <c r="V52" i="1" l="1"/>
  <c r="X63" i="1"/>
  <c r="X52" i="1"/>
  <c r="V63" i="1" l="1"/>
  <c r="H7" i="27"/>
  <c r="T62" i="1"/>
  <c r="T63" i="1"/>
  <c r="X61" i="1"/>
  <c r="X62" i="1"/>
  <c r="V61" i="1"/>
  <c r="V62" i="1"/>
  <c r="T60" i="1"/>
  <c r="T61" i="1"/>
  <c r="X59" i="1"/>
  <c r="X60" i="1"/>
  <c r="V59" i="1"/>
  <c r="V60" i="1"/>
  <c r="T58" i="1"/>
  <c r="T59" i="1"/>
  <c r="X57" i="1"/>
  <c r="X58" i="1"/>
  <c r="V57" i="1"/>
  <c r="V58" i="1"/>
  <c r="T56" i="1"/>
  <c r="T57" i="1"/>
  <c r="X55" i="1"/>
  <c r="X56" i="1"/>
  <c r="V55" i="1"/>
  <c r="V56" i="1"/>
  <c r="T54" i="1"/>
  <c r="T55" i="1"/>
  <c r="X53" i="1"/>
  <c r="X54" i="1"/>
  <c r="V53" i="1"/>
  <c r="V54" i="1"/>
  <c r="T53" i="1"/>
  <c r="E91" i="5"/>
  <c r="H20" i="27" l="1"/>
  <c r="J7" i="27"/>
  <c r="J20" i="27" s="1"/>
  <c r="T64" i="1"/>
  <c r="X64" i="1"/>
  <c r="V64" i="1"/>
  <c r="E35" i="1"/>
  <c r="E10" i="1"/>
  <c r="E26" i="1"/>
  <c r="E47" i="1"/>
  <c r="E63" i="1"/>
  <c r="E51" i="1" l="1"/>
  <c r="M51" i="1" s="1"/>
  <c r="E62" i="1"/>
  <c r="W62" i="1" s="1"/>
  <c r="E42" i="1"/>
  <c r="I42" i="1" s="1"/>
  <c r="E15" i="1"/>
  <c r="K15" i="1" s="1"/>
  <c r="E31" i="1"/>
  <c r="Y31" i="1" s="1"/>
  <c r="E58" i="1"/>
  <c r="K58" i="1" s="1"/>
  <c r="E46" i="1"/>
  <c r="U46" i="1" s="1"/>
  <c r="E52" i="1"/>
  <c r="G52" i="1" s="1"/>
  <c r="E59" i="1"/>
  <c r="U59" i="1" s="1"/>
  <c r="E28" i="1"/>
  <c r="Q28" i="1" s="1"/>
  <c r="E30" i="1"/>
  <c r="O30" i="1" s="1"/>
  <c r="E54" i="1"/>
  <c r="U54" i="1" s="1"/>
  <c r="E33" i="1"/>
  <c r="G33" i="1" s="1"/>
  <c r="E55" i="1"/>
  <c r="G55" i="1" s="1"/>
  <c r="E44" i="1"/>
  <c r="I44" i="1" s="1"/>
  <c r="E14" i="1"/>
  <c r="U14" i="1" s="1"/>
  <c r="E40" i="1"/>
  <c r="I40" i="1" s="1"/>
  <c r="E27" i="1"/>
  <c r="S27" i="1" s="1"/>
  <c r="E53" i="1"/>
  <c r="G53" i="1" s="1"/>
  <c r="E50" i="1"/>
  <c r="Y50" i="1" s="1"/>
  <c r="E12" i="1"/>
  <c r="M12" i="1" s="1"/>
  <c r="E39" i="1"/>
  <c r="W39" i="1" s="1"/>
  <c r="E32" i="1"/>
  <c r="O32" i="1" s="1"/>
  <c r="E25" i="1"/>
  <c r="M25" i="1" s="1"/>
  <c r="E45" i="1"/>
  <c r="Q45" i="1" s="1"/>
  <c r="E22" i="1"/>
  <c r="I22" i="1" s="1"/>
  <c r="E49" i="1"/>
  <c r="I49" i="1" s="1"/>
  <c r="E34" i="1"/>
  <c r="G34" i="1" s="1"/>
  <c r="E57" i="1"/>
  <c r="Q57" i="1" s="1"/>
  <c r="E19" i="1"/>
  <c r="O19" i="1" s="1"/>
  <c r="E60" i="1"/>
  <c r="W60" i="1" s="1"/>
  <c r="E11" i="1"/>
  <c r="S11" i="1" s="1"/>
  <c r="E16" i="1"/>
  <c r="W16" i="1" s="1"/>
  <c r="E48" i="1"/>
  <c r="Y48" i="1" s="1"/>
  <c r="E43" i="1"/>
  <c r="Y43" i="1" s="1"/>
  <c r="E23" i="1"/>
  <c r="W23" i="1" s="1"/>
  <c r="E37" i="1"/>
  <c r="W37" i="1" s="1"/>
  <c r="E20" i="1"/>
  <c r="K20" i="1" s="1"/>
  <c r="E38" i="1"/>
  <c r="Y38" i="1" s="1"/>
  <c r="E17" i="1"/>
  <c r="M17" i="1" s="1"/>
  <c r="E24" i="1"/>
  <c r="U24" i="1" s="1"/>
  <c r="E18" i="1"/>
  <c r="M18" i="1" s="1"/>
  <c r="E36" i="1"/>
  <c r="S36" i="1" s="1"/>
  <c r="E56" i="1"/>
  <c r="Q56" i="1" s="1"/>
  <c r="E29" i="1"/>
  <c r="K29" i="1" s="1"/>
  <c r="E41" i="1"/>
  <c r="K41" i="1" s="1"/>
  <c r="E21" i="1"/>
  <c r="S21" i="1" s="1"/>
  <c r="E61" i="1"/>
  <c r="I61" i="1" s="1"/>
  <c r="E13" i="1"/>
  <c r="O13" i="1" s="1"/>
  <c r="W47" i="1"/>
  <c r="G47" i="1"/>
  <c r="U47" i="1"/>
  <c r="S47" i="1"/>
  <c r="Q47" i="1"/>
  <c r="O47" i="1"/>
  <c r="M47" i="1"/>
  <c r="K47" i="1"/>
  <c r="Y47" i="1"/>
  <c r="I47" i="1"/>
  <c r="O51" i="1"/>
  <c r="Y35" i="1"/>
  <c r="I35" i="1"/>
  <c r="W35" i="1"/>
  <c r="G35" i="1"/>
  <c r="S35" i="1"/>
  <c r="U35" i="1"/>
  <c r="Q35" i="1"/>
  <c r="O35" i="1"/>
  <c r="M35" i="1"/>
  <c r="K35" i="1"/>
  <c r="W63" i="1"/>
  <c r="G63" i="1"/>
  <c r="U63" i="1"/>
  <c r="S63" i="1"/>
  <c r="Q63" i="1"/>
  <c r="O63" i="1"/>
  <c r="M63" i="1"/>
  <c r="K63" i="1"/>
  <c r="I63" i="1"/>
  <c r="Y63" i="1"/>
  <c r="K26" i="1"/>
  <c r="Y26" i="1"/>
  <c r="I26" i="1"/>
  <c r="U26" i="1"/>
  <c r="Q26" i="1"/>
  <c r="O26" i="1"/>
  <c r="M26" i="1"/>
  <c r="G26" i="1"/>
  <c r="W26" i="1"/>
  <c r="S26" i="1"/>
  <c r="W10" i="1"/>
  <c r="G10" i="1"/>
  <c r="U10" i="1"/>
  <c r="S10" i="1"/>
  <c r="Q10" i="1"/>
  <c r="O10" i="1"/>
  <c r="M10" i="1"/>
  <c r="K10" i="1"/>
  <c r="I10" i="1"/>
  <c r="Y10" i="1"/>
  <c r="S51" i="1" l="1"/>
  <c r="U51" i="1"/>
  <c r="G51" i="1"/>
  <c r="W51" i="1"/>
  <c r="I51" i="1"/>
  <c r="Y51" i="1"/>
  <c r="K51" i="1"/>
  <c r="Q51" i="1"/>
  <c r="Y14" i="1"/>
  <c r="U42" i="1"/>
  <c r="K42" i="1"/>
  <c r="O42" i="1"/>
  <c r="I59" i="1"/>
  <c r="K31" i="1"/>
  <c r="Y42" i="1"/>
  <c r="G54" i="1"/>
  <c r="Q42" i="1"/>
  <c r="Q58" i="1"/>
  <c r="W53" i="1"/>
  <c r="S42" i="1"/>
  <c r="I53" i="1"/>
  <c r="K62" i="1"/>
  <c r="Q46" i="1"/>
  <c r="O62" i="1"/>
  <c r="Q15" i="1"/>
  <c r="U15" i="1"/>
  <c r="I62" i="1"/>
  <c r="W12" i="1"/>
  <c r="M42" i="1"/>
  <c r="M41" i="1"/>
  <c r="G42" i="1"/>
  <c r="U58" i="1"/>
  <c r="W42" i="1"/>
  <c r="Y58" i="1"/>
  <c r="M58" i="1"/>
  <c r="K16" i="1"/>
  <c r="Q16" i="1"/>
  <c r="M62" i="1"/>
  <c r="Y62" i="1"/>
  <c r="W54" i="1"/>
  <c r="S15" i="1"/>
  <c r="M16" i="1"/>
  <c r="S62" i="1"/>
  <c r="Y52" i="1"/>
  <c r="W15" i="1"/>
  <c r="I16" i="1"/>
  <c r="G15" i="1"/>
  <c r="U62" i="1"/>
  <c r="K52" i="1"/>
  <c r="I15" i="1"/>
  <c r="Y16" i="1"/>
  <c r="Q62" i="1"/>
  <c r="U16" i="1"/>
  <c r="G62" i="1"/>
  <c r="W29" i="1"/>
  <c r="M15" i="1"/>
  <c r="Y15" i="1"/>
  <c r="U38" i="1"/>
  <c r="U29" i="1"/>
  <c r="O15" i="1"/>
  <c r="G12" i="1"/>
  <c r="Y12" i="1"/>
  <c r="O12" i="1"/>
  <c r="W52" i="1"/>
  <c r="Y54" i="1"/>
  <c r="O54" i="1"/>
  <c r="I54" i="1"/>
  <c r="M54" i="1"/>
  <c r="Q54" i="1"/>
  <c r="U41" i="1"/>
  <c r="S54" i="1"/>
  <c r="W41" i="1"/>
  <c r="K54" i="1"/>
  <c r="Y40" i="1"/>
  <c r="S12" i="1"/>
  <c r="S60" i="1"/>
  <c r="I41" i="1"/>
  <c r="O50" i="1"/>
  <c r="U60" i="1"/>
  <c r="O52" i="1"/>
  <c r="G60" i="1"/>
  <c r="U49" i="1"/>
  <c r="S52" i="1"/>
  <c r="I60" i="1"/>
  <c r="S17" i="1"/>
  <c r="Y60" i="1"/>
  <c r="K60" i="1"/>
  <c r="O60" i="1"/>
  <c r="O53" i="1"/>
  <c r="K53" i="1"/>
  <c r="M53" i="1"/>
  <c r="S53" i="1"/>
  <c r="Q41" i="1"/>
  <c r="Y53" i="1"/>
  <c r="U53" i="1"/>
  <c r="Q36" i="1"/>
  <c r="Q53" i="1"/>
  <c r="O46" i="1"/>
  <c r="U12" i="1"/>
  <c r="Q12" i="1"/>
  <c r="I52" i="1"/>
  <c r="K14" i="1"/>
  <c r="S25" i="1"/>
  <c r="I12" i="1"/>
  <c r="Q52" i="1"/>
  <c r="M52" i="1"/>
  <c r="G46" i="1"/>
  <c r="O33" i="1"/>
  <c r="K12" i="1"/>
  <c r="U52" i="1"/>
  <c r="Q33" i="1"/>
  <c r="W46" i="1"/>
  <c r="S50" i="1"/>
  <c r="K43" i="1"/>
  <c r="M33" i="1"/>
  <c r="O14" i="1"/>
  <c r="S14" i="1"/>
  <c r="Y22" i="1"/>
  <c r="Q49" i="1"/>
  <c r="W14" i="1"/>
  <c r="K46" i="1"/>
  <c r="I46" i="1"/>
  <c r="K49" i="1"/>
  <c r="G14" i="1"/>
  <c r="O18" i="1"/>
  <c r="G59" i="1"/>
  <c r="I32" i="1"/>
  <c r="I14" i="1"/>
  <c r="M46" i="1"/>
  <c r="Y46" i="1"/>
  <c r="W30" i="1"/>
  <c r="Q14" i="1"/>
  <c r="M14" i="1"/>
  <c r="S46" i="1"/>
  <c r="W49" i="1"/>
  <c r="M55" i="1"/>
  <c r="M22" i="1"/>
  <c r="Y49" i="1"/>
  <c r="S45" i="1"/>
  <c r="G49" i="1"/>
  <c r="U22" i="1"/>
  <c r="O31" i="1"/>
  <c r="K18" i="1"/>
  <c r="K50" i="1"/>
  <c r="I38" i="1"/>
  <c r="W33" i="1"/>
  <c r="G31" i="1"/>
  <c r="G17" i="1"/>
  <c r="K30" i="1"/>
  <c r="Y55" i="1"/>
  <c r="W55" i="1"/>
  <c r="U50" i="1"/>
  <c r="G38" i="1"/>
  <c r="O55" i="1"/>
  <c r="Y18" i="1"/>
  <c r="M50" i="1"/>
  <c r="I33" i="1"/>
  <c r="K33" i="1"/>
  <c r="I31" i="1"/>
  <c r="W17" i="1"/>
  <c r="U30" i="1"/>
  <c r="K55" i="1"/>
  <c r="Q18" i="1"/>
  <c r="Q50" i="1"/>
  <c r="M31" i="1"/>
  <c r="Y30" i="1"/>
  <c r="S18" i="1"/>
  <c r="G50" i="1"/>
  <c r="K38" i="1"/>
  <c r="S33" i="1"/>
  <c r="S31" i="1"/>
  <c r="Q31" i="1"/>
  <c r="M30" i="1"/>
  <c r="Q55" i="1"/>
  <c r="U18" i="1"/>
  <c r="W50" i="1"/>
  <c r="M38" i="1"/>
  <c r="U33" i="1"/>
  <c r="W31" i="1"/>
  <c r="G30" i="1"/>
  <c r="Q30" i="1"/>
  <c r="S55" i="1"/>
  <c r="O23" i="1"/>
  <c r="G18" i="1"/>
  <c r="I50" i="1"/>
  <c r="Q38" i="1"/>
  <c r="G57" i="1"/>
  <c r="Y33" i="1"/>
  <c r="U31" i="1"/>
  <c r="Y17" i="1"/>
  <c r="I30" i="1"/>
  <c r="S30" i="1"/>
  <c r="U55" i="1"/>
  <c r="U17" i="1"/>
  <c r="I18" i="1"/>
  <c r="Y34" i="1"/>
  <c r="S38" i="1"/>
  <c r="S57" i="1"/>
  <c r="O17" i="1"/>
  <c r="I55" i="1"/>
  <c r="S58" i="1"/>
  <c r="O58" i="1"/>
  <c r="M40" i="1"/>
  <c r="Q43" i="1"/>
  <c r="M43" i="1"/>
  <c r="W59" i="1"/>
  <c r="I17" i="1"/>
  <c r="Y41" i="1"/>
  <c r="M49" i="1"/>
  <c r="S23" i="1"/>
  <c r="U25" i="1"/>
  <c r="S16" i="1"/>
  <c r="G58" i="1"/>
  <c r="U43" i="1"/>
  <c r="Y59" i="1"/>
  <c r="K17" i="1"/>
  <c r="O41" i="1"/>
  <c r="S49" i="1"/>
  <c r="G23" i="1"/>
  <c r="K25" i="1"/>
  <c r="G16" i="1"/>
  <c r="S43" i="1"/>
  <c r="Y25" i="1"/>
  <c r="W58" i="1"/>
  <c r="U19" i="1"/>
  <c r="G43" i="1"/>
  <c r="K59" i="1"/>
  <c r="I23" i="1"/>
  <c r="G25" i="1"/>
  <c r="I58" i="1"/>
  <c r="Y19" i="1"/>
  <c r="W43" i="1"/>
  <c r="Q59" i="1"/>
  <c r="M59" i="1"/>
  <c r="Q20" i="1"/>
  <c r="Y23" i="1"/>
  <c r="W25" i="1"/>
  <c r="O43" i="1"/>
  <c r="U23" i="1"/>
  <c r="Q19" i="1"/>
  <c r="I43" i="1"/>
  <c r="S59" i="1"/>
  <c r="O59" i="1"/>
  <c r="M20" i="1"/>
  <c r="K23" i="1"/>
  <c r="I48" i="1"/>
  <c r="G32" i="1"/>
  <c r="M23" i="1"/>
  <c r="O25" i="1"/>
  <c r="O34" i="1"/>
  <c r="K34" i="1"/>
  <c r="K40" i="1"/>
  <c r="W57" i="1"/>
  <c r="U44" i="1"/>
  <c r="U45" i="1"/>
  <c r="S34" i="1"/>
  <c r="O40" i="1"/>
  <c r="Y57" i="1"/>
  <c r="W45" i="1"/>
  <c r="K39" i="1"/>
  <c r="G45" i="1"/>
  <c r="W34" i="1"/>
  <c r="Q40" i="1"/>
  <c r="K57" i="1"/>
  <c r="Y37" i="1"/>
  <c r="U21" i="1"/>
  <c r="I45" i="1"/>
  <c r="O39" i="1"/>
  <c r="Q34" i="1"/>
  <c r="I57" i="1"/>
  <c r="Y44" i="1"/>
  <c r="M34" i="1"/>
  <c r="G40" i="1"/>
  <c r="S40" i="1"/>
  <c r="M57" i="1"/>
  <c r="I28" i="1"/>
  <c r="M45" i="1"/>
  <c r="Y45" i="1"/>
  <c r="W40" i="1"/>
  <c r="U40" i="1"/>
  <c r="O57" i="1"/>
  <c r="U28" i="1"/>
  <c r="O45" i="1"/>
  <c r="K45" i="1"/>
  <c r="U34" i="1"/>
  <c r="I34" i="1"/>
  <c r="U57" i="1"/>
  <c r="I36" i="1"/>
  <c r="W11" i="1"/>
  <c r="G19" i="1"/>
  <c r="K19" i="1"/>
  <c r="K27" i="1"/>
  <c r="O28" i="1"/>
  <c r="K28" i="1"/>
  <c r="G28" i="1"/>
  <c r="O44" i="1"/>
  <c r="G44" i="1"/>
  <c r="K44" i="1"/>
  <c r="K32" i="1"/>
  <c r="Y32" i="1"/>
  <c r="O22" i="1"/>
  <c r="G22" i="1"/>
  <c r="K22" i="1"/>
  <c r="K11" i="1"/>
  <c r="W19" i="1"/>
  <c r="M19" i="1"/>
  <c r="G27" i="1"/>
  <c r="S28" i="1"/>
  <c r="M28" i="1"/>
  <c r="W28" i="1"/>
  <c r="Q44" i="1"/>
  <c r="W44" i="1"/>
  <c r="M44" i="1"/>
  <c r="U32" i="1"/>
  <c r="Q32" i="1"/>
  <c r="M32" i="1"/>
  <c r="S22" i="1"/>
  <c r="W22" i="1"/>
  <c r="S19" i="1"/>
  <c r="I19" i="1"/>
  <c r="I27" i="1"/>
  <c r="Y28" i="1"/>
  <c r="S44" i="1"/>
  <c r="W32" i="1"/>
  <c r="S32" i="1"/>
  <c r="Q22" i="1"/>
  <c r="Q61" i="1"/>
  <c r="S20" i="1"/>
  <c r="U36" i="1"/>
  <c r="K56" i="1"/>
  <c r="G61" i="1"/>
  <c r="G20" i="1"/>
  <c r="G36" i="1"/>
  <c r="O56" i="1"/>
  <c r="W20" i="1"/>
  <c r="K36" i="1"/>
  <c r="W36" i="1"/>
  <c r="I20" i="1"/>
  <c r="O36" i="1"/>
  <c r="M36" i="1"/>
  <c r="Y20" i="1"/>
  <c r="Y36" i="1"/>
  <c r="G48" i="1"/>
  <c r="M61" i="1"/>
  <c r="O20" i="1"/>
  <c r="G13" i="1"/>
  <c r="W56" i="1"/>
  <c r="W24" i="1"/>
  <c r="I11" i="1"/>
  <c r="W27" i="1"/>
  <c r="O37" i="1"/>
  <c r="U61" i="1"/>
  <c r="S29" i="1"/>
  <c r="U13" i="1"/>
  <c r="G21" i="1"/>
  <c r="M56" i="1"/>
  <c r="G24" i="1"/>
  <c r="M39" i="1"/>
  <c r="W48" i="1"/>
  <c r="W21" i="1"/>
  <c r="K24" i="1"/>
  <c r="M11" i="1"/>
  <c r="O27" i="1"/>
  <c r="Y27" i="1"/>
  <c r="S37" i="1"/>
  <c r="W61" i="1"/>
  <c r="Y29" i="1"/>
  <c r="Y13" i="1"/>
  <c r="I21" i="1"/>
  <c r="S56" i="1"/>
  <c r="M24" i="1"/>
  <c r="Y24" i="1"/>
  <c r="Q39" i="1"/>
  <c r="K48" i="1"/>
  <c r="Q37" i="1"/>
  <c r="I24" i="1"/>
  <c r="Y11" i="1"/>
  <c r="M27" i="1"/>
  <c r="I37" i="1"/>
  <c r="U37" i="1"/>
  <c r="Y61" i="1"/>
  <c r="I29" i="1"/>
  <c r="K13" i="1"/>
  <c r="Y21" i="1"/>
  <c r="U56" i="1"/>
  <c r="Q24" i="1"/>
  <c r="S39" i="1"/>
  <c r="M48" i="1"/>
  <c r="O11" i="1"/>
  <c r="Q27" i="1"/>
  <c r="G37" i="1"/>
  <c r="K37" i="1"/>
  <c r="K61" i="1"/>
  <c r="G29" i="1"/>
  <c r="Q21" i="1"/>
  <c r="K21" i="1"/>
  <c r="G56" i="1"/>
  <c r="O24" i="1"/>
  <c r="U39" i="1"/>
  <c r="O48" i="1"/>
  <c r="U11" i="1"/>
  <c r="M37" i="1"/>
  <c r="S48" i="1"/>
  <c r="Q11" i="1"/>
  <c r="U27" i="1"/>
  <c r="M29" i="1"/>
  <c r="O21" i="1"/>
  <c r="M21" i="1"/>
  <c r="S24" i="1"/>
  <c r="I39" i="1"/>
  <c r="G39" i="1"/>
  <c r="G11" i="1"/>
  <c r="O61" i="1"/>
  <c r="Q29" i="1"/>
  <c r="I56" i="1"/>
  <c r="Y39" i="1"/>
  <c r="U48" i="1"/>
  <c r="W13" i="1"/>
  <c r="W18" i="1"/>
  <c r="O38" i="1"/>
  <c r="S61" i="1"/>
  <c r="U20" i="1"/>
  <c r="Q60" i="1"/>
  <c r="M60" i="1"/>
  <c r="O29" i="1"/>
  <c r="Q17" i="1"/>
  <c r="I13" i="1"/>
  <c r="Y56" i="1"/>
  <c r="G41" i="1"/>
  <c r="S41" i="1"/>
  <c r="O49" i="1"/>
  <c r="Q23" i="1"/>
  <c r="Q48" i="1"/>
  <c r="I25" i="1"/>
  <c r="O16" i="1"/>
  <c r="Q13" i="1"/>
  <c r="M13" i="1"/>
  <c r="W38" i="1"/>
  <c r="S13" i="1"/>
  <c r="Q25" i="1"/>
  <c r="N10" i="27" l="1"/>
  <c r="M8" i="27"/>
  <c r="N9" i="27"/>
  <c r="M11" i="27"/>
  <c r="N16" i="27"/>
  <c r="N12" i="27"/>
  <c r="N11" i="27"/>
  <c r="M14" i="27"/>
  <c r="N15" i="27"/>
  <c r="M12" i="27"/>
  <c r="N13" i="27"/>
  <c r="N8" i="27"/>
  <c r="M16" i="27"/>
  <c r="M15" i="27"/>
  <c r="M10" i="27"/>
  <c r="M13" i="27"/>
  <c r="N14" i="27"/>
  <c r="M9" i="27"/>
  <c r="E9" i="1"/>
  <c r="K9" i="1" s="1"/>
  <c r="K64" i="1" s="1"/>
  <c r="D9" i="1"/>
  <c r="E9" i="24"/>
  <c r="C9" i="1"/>
  <c r="B9" i="1"/>
  <c r="D9" i="24"/>
  <c r="L14" i="27" l="1"/>
  <c r="O14" i="27" s="1"/>
  <c r="L8" i="27"/>
  <c r="O8" i="27" s="1"/>
  <c r="L13" i="27"/>
  <c r="O13" i="27" s="1"/>
  <c r="L9" i="27"/>
  <c r="O9" i="27" s="1"/>
  <c r="L10" i="27"/>
  <c r="O10" i="27" s="1"/>
  <c r="L16" i="27"/>
  <c r="O16" i="27" s="1"/>
  <c r="L11" i="27"/>
  <c r="O11" i="27" s="1"/>
  <c r="L12" i="27"/>
  <c r="O12" i="27" s="1"/>
  <c r="L15" i="27"/>
  <c r="O15" i="27" s="1"/>
  <c r="N7" i="27"/>
  <c r="N20" i="27" s="1"/>
  <c r="G9" i="1"/>
  <c r="G64" i="1" s="1"/>
  <c r="U9" i="1"/>
  <c r="U64" i="1" s="1"/>
  <c r="S9" i="1"/>
  <c r="S64" i="1" s="1"/>
  <c r="I9" i="1"/>
  <c r="I64" i="1" s="1"/>
  <c r="M9" i="1"/>
  <c r="M64" i="1" s="1"/>
  <c r="Y9" i="1"/>
  <c r="Y64" i="1" s="1"/>
  <c r="Q9" i="1"/>
  <c r="Q64" i="1" s="1"/>
  <c r="W9" i="1"/>
  <c r="W64" i="1" s="1"/>
  <c r="O9" i="1"/>
  <c r="O64" i="1" s="1"/>
  <c r="M7" i="27" l="1"/>
  <c r="M20" i="27" s="1"/>
  <c r="L7" i="27" l="1"/>
  <c r="O7" i="27" l="1"/>
  <c r="O20" i="27" s="1"/>
  <c r="L20" i="27"/>
  <c r="Y112" i="41" l="1"/>
  <c r="Z112" i="41" s="1"/>
  <c r="Y177" i="41"/>
  <c r="Z177" i="41" l="1"/>
  <c r="AE176" i="41" s="1"/>
  <c r="AE176" i="51" s="1"/>
  <c r="AE176" i="68" s="1"/>
  <c r="AE176" i="69" s="1"/>
  <c r="AE176" i="70" s="1"/>
  <c r="AE176" i="71" s="1"/>
  <c r="AE176" i="72" s="1"/>
  <c r="AE176" i="73" s="1"/>
  <c r="AE176" i="74" s="1"/>
  <c r="AD112" i="41"/>
  <c r="AD177" i="41" s="1"/>
  <c r="AD178" i="41" l="1"/>
  <c r="AD178" i="51"/>
  <c r="AD178" i="67" s="1"/>
  <c r="AD178" i="68" s="1"/>
  <c r="AD178" i="69" s="1"/>
  <c r="AD178" i="70" s="1"/>
  <c r="AD178" i="71" s="1"/>
  <c r="AD178" i="72" s="1"/>
  <c r="AD178" i="73" s="1"/>
  <c r="AD178" i="7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Andy Crosson</author>
  </authors>
  <commentList>
    <comment ref="E5" authorId="0" shapeId="0" xr:uid="{3DFDAEFB-D796-4D79-A7AF-2CC3485EBF1A}">
      <text>
        <r>
          <rPr>
            <b/>
            <sz val="9"/>
            <color rgb="FF000000"/>
            <rFont val="Tahoma"/>
            <family val="2"/>
          </rPr>
          <t>Philip Abeldt:</t>
        </r>
        <r>
          <rPr>
            <sz val="9"/>
            <color rgb="FF000000"/>
            <rFont val="Tahoma"/>
            <family val="2"/>
          </rPr>
          <t xml:space="preserve">
6/6/2021 - Added Dental Conversion Factor of 98.52
6/4/2025 - Added Dental Conversion Factor of 115.71</t>
        </r>
      </text>
    </comment>
  </commentList>
</comments>
</file>

<file path=xl/sharedStrings.xml><?xml version="1.0" encoding="utf-8"?>
<sst xmlns="http://schemas.openxmlformats.org/spreadsheetml/2006/main" count="2726" uniqueCount="352">
  <si>
    <t>D0140</t>
  </si>
  <si>
    <t>D0150</t>
  </si>
  <si>
    <t>D0160</t>
  </si>
  <si>
    <t>D7111</t>
  </si>
  <si>
    <t>D7140</t>
  </si>
  <si>
    <t>D7210</t>
  </si>
  <si>
    <t>D7220</t>
  </si>
  <si>
    <t>D7230</t>
  </si>
  <si>
    <t>D7240</t>
  </si>
  <si>
    <t>D7250</t>
  </si>
  <si>
    <t>D7310</t>
  </si>
  <si>
    <t>D7311</t>
  </si>
  <si>
    <t>D1110</t>
  </si>
  <si>
    <t>D2140</t>
  </si>
  <si>
    <t>D2150</t>
  </si>
  <si>
    <t>D2160</t>
  </si>
  <si>
    <t>D2161</t>
  </si>
  <si>
    <t>D2330</t>
  </si>
  <si>
    <t>D2331</t>
  </si>
  <si>
    <t>D2332</t>
  </si>
  <si>
    <t>D2335</t>
  </si>
  <si>
    <t>D2391</t>
  </si>
  <si>
    <t>D2392</t>
  </si>
  <si>
    <t>D2393</t>
  </si>
  <si>
    <t>D2394</t>
  </si>
  <si>
    <t>D2940</t>
  </si>
  <si>
    <t>D2930</t>
  </si>
  <si>
    <t>D2931</t>
  </si>
  <si>
    <t>D9310</t>
  </si>
  <si>
    <t>D1310</t>
  </si>
  <si>
    <t>D1320</t>
  </si>
  <si>
    <t>D0220</t>
  </si>
  <si>
    <t>D0272</t>
  </si>
  <si>
    <t>D0274</t>
  </si>
  <si>
    <t>D9999</t>
  </si>
  <si>
    <t>D4355</t>
  </si>
  <si>
    <t>D9630</t>
  </si>
  <si>
    <t>D9110</t>
  </si>
  <si>
    <t>D1120</t>
  </si>
  <si>
    <t>D4341</t>
  </si>
  <si>
    <t>D4342</t>
  </si>
  <si>
    <t>D9930</t>
  </si>
  <si>
    <t>D0230</t>
  </si>
  <si>
    <t>D7910</t>
  </si>
  <si>
    <t>D7911</t>
  </si>
  <si>
    <t>D9215</t>
  </si>
  <si>
    <t>D9211</t>
  </si>
  <si>
    <t>D7510</t>
  </si>
  <si>
    <t>D7511</t>
  </si>
  <si>
    <t>DWU</t>
  </si>
  <si>
    <t>Value</t>
  </si>
  <si>
    <t>Procedure Description</t>
  </si>
  <si>
    <t>CODE</t>
  </si>
  <si>
    <t>Procedures</t>
  </si>
  <si>
    <t>Patient Seating (Encounter)</t>
  </si>
  <si>
    <t>A9999</t>
  </si>
  <si>
    <t>Participating Services</t>
  </si>
  <si>
    <t>Service1</t>
  </si>
  <si>
    <t>Service2</t>
  </si>
  <si>
    <t>ANG</t>
  </si>
  <si>
    <t>Service3</t>
  </si>
  <si>
    <t>Service4</t>
  </si>
  <si>
    <t>Service5</t>
  </si>
  <si>
    <t>Service6</t>
  </si>
  <si>
    <t>USMCR</t>
  </si>
  <si>
    <t>Service7</t>
  </si>
  <si>
    <t>Service Branch:</t>
  </si>
  <si>
    <t>Provider Name:</t>
  </si>
  <si>
    <t>This is the UNPROTECTED BOOK</t>
  </si>
  <si>
    <t>Innovative Readiness Training Program</t>
  </si>
  <si>
    <t>Use "IRT2020" as the unprotect password</t>
  </si>
  <si>
    <t>on the PROTECTED workbook.</t>
  </si>
  <si>
    <t>Project Detail Worksheet</t>
  </si>
  <si>
    <t>Project Name:</t>
  </si>
  <si>
    <t>Site Location(s)</t>
  </si>
  <si>
    <t>Site Name</t>
  </si>
  <si>
    <t>Site 1</t>
  </si>
  <si>
    <t>Site 2</t>
  </si>
  <si>
    <t>Site 3</t>
  </si>
  <si>
    <t>Site 4</t>
  </si>
  <si>
    <t>Site 5</t>
  </si>
  <si>
    <t>Site 6</t>
  </si>
  <si>
    <t>Site 7</t>
  </si>
  <si>
    <t>Service Delivery Dates:</t>
  </si>
  <si>
    <t>Date</t>
  </si>
  <si>
    <t>Date 1</t>
  </si>
  <si>
    <t>Date 2</t>
  </si>
  <si>
    <t>Date 3</t>
  </si>
  <si>
    <t>Date 4</t>
  </si>
  <si>
    <t>Date 5</t>
  </si>
  <si>
    <t>Date 6</t>
  </si>
  <si>
    <t>Date 7</t>
  </si>
  <si>
    <t>Date 8</t>
  </si>
  <si>
    <t>Date 9</t>
  </si>
  <si>
    <t>Date 10</t>
  </si>
  <si>
    <t>To update this spreadsheet:  Update the RVU conversion factor from CMS, google search</t>
  </si>
  <si>
    <t>Operational Workload, Utilizing Relative Value Units (RVUs)</t>
  </si>
  <si>
    <t>Update each medical / nutrition counseling / eye procedure RVU and non-facility RVU via CMS website</t>
  </si>
  <si>
    <t>Mission Name: ECG IRT</t>
  </si>
  <si>
    <t>using "National Fee Schedule" keyword to search. 2020 file is located at https://www.cms.gov/Medicare/Medicare-Fee-for-Service-Payment/PhysicianFeeSched/PFS-Relative-Value-Files.html</t>
  </si>
  <si>
    <t>Procedure</t>
  </si>
  <si>
    <t>CPT</t>
  </si>
  <si>
    <t>Worked RVU</t>
  </si>
  <si>
    <t>Non-Facility RVU</t>
  </si>
  <si>
    <t>Global Value</t>
  </si>
  <si>
    <t>Medical</t>
  </si>
  <si>
    <t>Dental</t>
  </si>
  <si>
    <t>Total Dental</t>
  </si>
  <si>
    <t>Grand Total</t>
  </si>
  <si>
    <t>Provider1</t>
  </si>
  <si>
    <t>Provider2</t>
  </si>
  <si>
    <t>Provider3</t>
  </si>
  <si>
    <t>Provider4</t>
  </si>
  <si>
    <t>Provider5</t>
  </si>
  <si>
    <t>Provider6</t>
  </si>
  <si>
    <t>Provider7</t>
  </si>
  <si>
    <t>Provider8</t>
  </si>
  <si>
    <t>Provider9</t>
  </si>
  <si>
    <t>Provider10</t>
  </si>
  <si>
    <t>PROVIDERS</t>
  </si>
  <si>
    <t>NAME (Rank, Last Name)</t>
  </si>
  <si>
    <t>Total Procedures:</t>
  </si>
  <si>
    <t>Total Procedures</t>
  </si>
  <si>
    <t>Total Value</t>
  </si>
  <si>
    <t>-</t>
  </si>
  <si>
    <t>Code</t>
  </si>
  <si>
    <t>RANK</t>
  </si>
  <si>
    <t>O6</t>
  </si>
  <si>
    <t>O5</t>
  </si>
  <si>
    <t>O4</t>
  </si>
  <si>
    <t>O3</t>
  </si>
  <si>
    <t>COL</t>
  </si>
  <si>
    <t>CAPT</t>
  </si>
  <si>
    <t>LTC</t>
  </si>
  <si>
    <t>CDR</t>
  </si>
  <si>
    <t>MAJ</t>
  </si>
  <si>
    <t>LCDR</t>
  </si>
  <si>
    <t>LT</t>
  </si>
  <si>
    <t>Provider</t>
  </si>
  <si>
    <t>SERVICE</t>
  </si>
  <si>
    <t>PROVIDER METRICS</t>
  </si>
  <si>
    <t>Exercise:</t>
  </si>
  <si>
    <t>Site Location:</t>
  </si>
  <si>
    <t>Date:</t>
  </si>
  <si>
    <t>Site:</t>
  </si>
  <si>
    <t>Col</t>
  </si>
  <si>
    <t>Lt Col</t>
  </si>
  <si>
    <t>Maj</t>
  </si>
  <si>
    <t>Army</t>
  </si>
  <si>
    <t>Air Force</t>
  </si>
  <si>
    <t>Navy/MC</t>
  </si>
  <si>
    <t>Capt</t>
  </si>
  <si>
    <t>AFRC</t>
  </si>
  <si>
    <t>USAG</t>
  </si>
  <si>
    <t>USMC (Guard)</t>
  </si>
  <si>
    <t>USNR</t>
  </si>
  <si>
    <t>ARNG</t>
  </si>
  <si>
    <t>USN</t>
  </si>
  <si>
    <t>USARC</t>
  </si>
  <si>
    <t>Daily Provider DIRS Sheet</t>
  </si>
  <si>
    <t>Provider:</t>
  </si>
  <si>
    <t>Service:</t>
  </si>
  <si>
    <t>Patients</t>
  </si>
  <si>
    <t>Patient Seating</t>
  </si>
  <si>
    <t>INSTRUCTIONS</t>
  </si>
  <si>
    <t>1. Verify the exercise details - Left click on the "ProjectDetails" worksheet tab at the bottom of the screen. Verify the Exercise Name, Site Locations, Service Delivery Dates, and Participating Service information in the cells in Column "B" exactly match the infromation listed in the corresponding cells on the IRT Exercise Metrics Tracker. If it does not macth exactly, please make the necessary chnges on this spreadsheet.</t>
  </si>
  <si>
    <t xml:space="preserve">2. Enter Provider information - In cells B45 to B54  enter your providers' service and in C45 to C54 their rank and name. Service must be selected from the drop down menu. Any text may be entered for rank and name. Use rank conventions listed by service to the right.  </t>
  </si>
  <si>
    <t>NOTE: This spreadsheet has individual provider information added whereas the IRT Exercise Metrics Tracker does not!</t>
  </si>
  <si>
    <t>3. Verify information on the "Day1" worksheet - Open the "Day1" worksheet and verify that the exercise name, date, providers and their service has properly autofilled. The "Site Location" must be entered in cell B4 on the "Day1" worksheet only. Select your site from the drop down list. This choice will autofill to the "Day2" through "Day10" worksheets.</t>
  </si>
  <si>
    <t>NOTE: "Patient Seating" appears on the dental metrics tracker and NOT on the exercise tracker.</t>
  </si>
  <si>
    <t>4. Verify provider information - Verify that your providers' names and services are correct in cells C92 to L92, and C93 to L93.</t>
  </si>
  <si>
    <t>6. Collect clinical data - Collect daily patient data from your providers by having them use individual tally or "DIRS" sheets. You can print off the last worksheet in theis work book, or a .pdf file is available. You should have each provder sill one out each day. No personal informaiton is gathered on patents, only how many of each procudure was done. Metrics should be collected daily by the time set by your site OIC.</t>
  </si>
  <si>
    <t>7. Enter provider data in the daily worksheet - Transfer the DIRS totals for each provider in columns "C" through "L" of the corresponding day worksheet. Data in the other cells will autofill due to formulas. Each provider's total procedures and dollar value for the exercise will display in the "Provider Summary" worksheet.</t>
  </si>
  <si>
    <r>
      <t xml:space="preserve">8. Transfer the data to the site metrics tracker - Select cells M94 through S162 by left clicking and holding the mouse button, then drag the cursor to the right to cell S94, and then down to S162. Right click and select "Copy". </t>
    </r>
    <r>
      <rPr>
        <b/>
        <i/>
        <sz val="11"/>
        <color theme="1"/>
        <rFont val="Calibri"/>
        <family val="2"/>
        <scheme val="minor"/>
      </rPr>
      <t>IMPORTANT: Do not copy the "Patient Seating" data! This is not reported on the site or exercise tracker.</t>
    </r>
    <r>
      <rPr>
        <sz val="11"/>
        <color theme="1"/>
        <rFont val="Calibri"/>
        <family val="2"/>
        <scheme val="minor"/>
      </rPr>
      <t xml:space="preserve"> Open up the corresponding day worksheet on the IRT Exercise Metrics Tracker. Right click on the appropriate cell and paste the </t>
    </r>
    <r>
      <rPr>
        <b/>
        <i/>
        <sz val="11"/>
        <color theme="1"/>
        <rFont val="Calibri"/>
        <family val="2"/>
        <scheme val="minor"/>
      </rPr>
      <t>VALUES ONLY</t>
    </r>
    <r>
      <rPr>
        <sz val="11"/>
        <color theme="1"/>
        <rFont val="Calibri"/>
        <family val="2"/>
        <scheme val="minor"/>
      </rPr>
      <t xml:space="preserve"> by selecting the paste icon (second one) with numbers.</t>
    </r>
  </si>
  <si>
    <r>
      <t>5.</t>
    </r>
    <r>
      <rPr>
        <b/>
        <i/>
        <sz val="11"/>
        <color rgb="FFFF0000"/>
        <rFont val="Calibri"/>
        <family val="2"/>
        <scheme val="minor"/>
      </rPr>
      <t xml:space="preserve"> IMPORTANT:</t>
    </r>
    <r>
      <rPr>
        <sz val="11"/>
        <color theme="1"/>
        <rFont val="Calibri"/>
        <family val="2"/>
        <scheme val="minor"/>
      </rPr>
      <t xml:space="preserve"> Verify accuracy of formulas for service totals - Verify that the service total formulas in cells M94 to S94 contain the correct service acronym displaying in cells M5 to S5. The acronym (or a blank space if there is none) is placed between the quotation marks (" ") in the formula. Unlock the worksheet using the password "IRT2020" and correct the formula if necessary, and copy and paste the </t>
    </r>
    <r>
      <rPr>
        <b/>
        <i/>
        <sz val="11"/>
        <color theme="1"/>
        <rFont val="Calibri"/>
        <family val="2"/>
        <scheme val="minor"/>
      </rPr>
      <t>FORMULA ONLY</t>
    </r>
    <r>
      <rPr>
        <sz val="11"/>
        <color theme="1"/>
        <rFont val="Calibri"/>
        <family val="2"/>
        <scheme val="minor"/>
      </rPr>
      <t xml:space="preserve"> in the column's cells in rows 95 to 162. You will have to repeat this procedure on "Day2" to "Day10" worksheets.</t>
    </r>
  </si>
  <si>
    <t>This is a spreadsheet developed to track the metrics of each dental provider and differs slightly from the official IRT Exercise Metrics Tracker. This is a tool meant to make metrics tracking easier for the Dental Department OIC at each site. You will be required to report metrics to you site OIC as well as the Exercise Dental OIC.</t>
  </si>
  <si>
    <t>9. If you have any questions, please contact CAPT Philip Abeldt at (209) 747-0477.</t>
  </si>
  <si>
    <t>Overall Mission Summary</t>
  </si>
  <si>
    <t>Mission</t>
  </si>
  <si>
    <t>FMV</t>
  </si>
  <si>
    <t>*Pt totals collected from daily reports provided by site OICs</t>
  </si>
  <si>
    <t>**Procedures collected from daily DIRS reports listed in tabs below</t>
  </si>
  <si>
    <t>Totals</t>
  </si>
  <si>
    <t>FMV $</t>
  </si>
  <si>
    <t>Mission Summary</t>
  </si>
  <si>
    <t>Mission Total</t>
  </si>
  <si>
    <t>Number of patients collected from site OICs</t>
  </si>
  <si>
    <t>Procedures and FMV collected from Provider Summary</t>
  </si>
  <si>
    <t>Dates</t>
  </si>
  <si>
    <t>LCDR Willes</t>
  </si>
  <si>
    <t>LCDR Warner</t>
  </si>
  <si>
    <t>CDR Buzzell</t>
  </si>
  <si>
    <t>CAPT Meymand</t>
  </si>
  <si>
    <t>CDR Thai</t>
  </si>
  <si>
    <t>MAJ Caldon</t>
  </si>
  <si>
    <t>LTC Morgan</t>
  </si>
  <si>
    <t>IRT Round Valley/Operation Walking Shield</t>
  </si>
  <si>
    <t>RVIHC Dental</t>
  </si>
  <si>
    <t>MHS UBO Rates | Health.mil</t>
  </si>
  <si>
    <t>Updated worked RVU and global values for CY 2022 from:</t>
  </si>
  <si>
    <t>D0120</t>
  </si>
  <si>
    <t>D0190</t>
  </si>
  <si>
    <t>D0210</t>
  </si>
  <si>
    <t>D0240</t>
  </si>
  <si>
    <t>D0270</t>
  </si>
  <si>
    <t>D0330</t>
  </si>
  <si>
    <t>D0999</t>
  </si>
  <si>
    <t>D1206</t>
  </si>
  <si>
    <t>D1354</t>
  </si>
  <si>
    <t>D2941</t>
  </si>
  <si>
    <t>D3110</t>
  </si>
  <si>
    <t>D3120</t>
  </si>
  <si>
    <t>Extraction, coronal remnants – primary tooth</t>
  </si>
  <si>
    <t>Removal of impacted tooth – soft tissue</t>
  </si>
  <si>
    <t>Removal of impacted tooth – partially bony</t>
  </si>
  <si>
    <t>Removal of impacted tooth – completely bony</t>
  </si>
  <si>
    <t>Removal of residual tooth roots (cutting procedure)</t>
  </si>
  <si>
    <t>Incision and drainage of abscess – intraoral soft tissue</t>
  </si>
  <si>
    <t>Suture of recent small wounds up to 5 cm</t>
  </si>
  <si>
    <t>Complicated suture – up to 5 cm</t>
  </si>
  <si>
    <t>Regional block anesthesia</t>
  </si>
  <si>
    <t>Drugs or medicaments dispensed in the office for home use</t>
  </si>
  <si>
    <t>Unspecified adjunctive procedure, by report</t>
  </si>
  <si>
    <t>D1330</t>
  </si>
  <si>
    <t>USPHS</t>
  </si>
  <si>
    <t>Day 1</t>
  </si>
  <si>
    <t>Total</t>
  </si>
  <si>
    <t>Day 2</t>
  </si>
  <si>
    <t>Day 3</t>
  </si>
  <si>
    <t>Day 4</t>
  </si>
  <si>
    <t>Day 5</t>
  </si>
  <si>
    <t>Day 6</t>
  </si>
  <si>
    <t>Day 7</t>
  </si>
  <si>
    <t>Day 8</t>
  </si>
  <si>
    <t>Day 9</t>
  </si>
  <si>
    <t>Day 10</t>
  </si>
  <si>
    <t>Day 11</t>
  </si>
  <si>
    <t>Day 12</t>
  </si>
  <si>
    <t>Day 13</t>
  </si>
  <si>
    <t>No Shows</t>
  </si>
  <si>
    <t>IRT FY25 Puerto Rico</t>
  </si>
  <si>
    <t>W9999</t>
  </si>
  <si>
    <t>D9951</t>
  </si>
  <si>
    <t>D9910</t>
  </si>
  <si>
    <t>D8695</t>
  </si>
  <si>
    <t>D7520</t>
  </si>
  <si>
    <t>D5422</t>
  </si>
  <si>
    <t>D5421</t>
  </si>
  <si>
    <t>D5411</t>
  </si>
  <si>
    <t>D5410</t>
  </si>
  <si>
    <t>D4920</t>
  </si>
  <si>
    <t>D3310</t>
  </si>
  <si>
    <t>D3220</t>
  </si>
  <si>
    <t>D2950</t>
  </si>
  <si>
    <t>D2932</t>
  </si>
  <si>
    <t>D2920</t>
  </si>
  <si>
    <t>D1352</t>
  </si>
  <si>
    <t>D1351</t>
  </si>
  <si>
    <t>D1321</t>
  </si>
  <si>
    <t>D0273</t>
  </si>
  <si>
    <t>D0171</t>
  </si>
  <si>
    <t>D0145</t>
  </si>
  <si>
    <t>Oral evaluation for a patient under three years of age and counseling with primary caregiver</t>
  </si>
  <si>
    <t>Re‐evaluation – post-operative office visit</t>
  </si>
  <si>
    <t>Bitewings – three radiographic images</t>
  </si>
  <si>
    <t>Counseling for the control and prevention of adverse oral, behavioral, and systemic health effects associated with high-risk substance use</t>
  </si>
  <si>
    <t xml:space="preserve">COUNSELING FOR THE CONTROL AND PREVENTION OF ADVERSE ORAL, BEHAVIORAL, AND SYSTEMIC HEALTH EFFECTS ASSOCIATED WITH HIGH-RISK SUBSTANCE USE                                                             </t>
  </si>
  <si>
    <t>DOD Weight</t>
  </si>
  <si>
    <t>Full Rate</t>
  </si>
  <si>
    <t>Description Name</t>
  </si>
  <si>
    <t>Re-cement or re‐bond crown</t>
  </si>
  <si>
    <t>Prefabricated resin crown</t>
  </si>
  <si>
    <t>Core buildup, including any pins when required</t>
  </si>
  <si>
    <t>Therapeutic pulpotomy (excluding final restoration) – removal of pulp coronal to the dentinocemental junction and application of medicament</t>
  </si>
  <si>
    <t>Endodontic therapy, anterior tooth (excluding final restoration)</t>
  </si>
  <si>
    <t>Unscheduled dressing change (by someone other than treating dentist or their staff)</t>
  </si>
  <si>
    <t>Adjust complete denture – maxillary</t>
  </si>
  <si>
    <t>Adjust complete denture – mandibular</t>
  </si>
  <si>
    <t>Adjust partial denture – maxillary</t>
  </si>
  <si>
    <t>Adjust partial denture – mandibular</t>
  </si>
  <si>
    <t>Incision and drainage of abscess – extraoral soft tissue</t>
  </si>
  <si>
    <t>Removal of fixed orthodontic appliances for reasons other than completion of treatment</t>
  </si>
  <si>
    <t>Application of desensitizing medicament</t>
  </si>
  <si>
    <t>Occlusal adjustment – limited</t>
  </si>
  <si>
    <t>Patient treated</t>
  </si>
  <si>
    <t>Periodic oral evaluation – established patient</t>
  </si>
  <si>
    <t>Limited oral evaluation – problem focused</t>
  </si>
  <si>
    <t>Comprehensive oral evaluation – new or established patient</t>
  </si>
  <si>
    <t>Detailed and extensive oral evaluation – problem focused, by report</t>
  </si>
  <si>
    <t xml:space="preserve">Screening of a patient </t>
  </si>
  <si>
    <t xml:space="preserve">Intraoral - comprehensive series of radiographic images     </t>
  </si>
  <si>
    <t>Intraoral – periapical first radiographic image</t>
  </si>
  <si>
    <t>Intraoral – periapical each additional radiographic image</t>
  </si>
  <si>
    <t>Intraoral – occlusal radiographic image</t>
  </si>
  <si>
    <t>Bitewing – single radiographic image</t>
  </si>
  <si>
    <t>Bitewings – two radiographic images</t>
  </si>
  <si>
    <t>Bitewings – four radiographic images</t>
  </si>
  <si>
    <t>Panoramic radiographic image</t>
  </si>
  <si>
    <t>Unspecified diagnostic procedure, by report</t>
  </si>
  <si>
    <t>Prophylaxis – adult</t>
  </si>
  <si>
    <t>Prophylaxis – child</t>
  </si>
  <si>
    <t>Topical application of fluoride varnish</t>
  </si>
  <si>
    <t>Nutritional counseling for control of dental disease</t>
  </si>
  <si>
    <t>Tobacco counseling for the control and prevention of oral disease</t>
  </si>
  <si>
    <t>Application of caries arresting medicament - per tooth</t>
  </si>
  <si>
    <t>Amalgam – one surface, primary or permanent</t>
  </si>
  <si>
    <t>Amalgam – two surfaces, primary or permanent</t>
  </si>
  <si>
    <t>Amalgam – three surfaces, primary or permanent</t>
  </si>
  <si>
    <t>Amalgam – four or more surfaces, primary or permanent</t>
  </si>
  <si>
    <t>Resin-based composite – one surface, anterior</t>
  </si>
  <si>
    <t>Resin-based composite – two surfaces, anterior</t>
  </si>
  <si>
    <t>Resin-based composite – three surfaces, anterior</t>
  </si>
  <si>
    <t>Resin-based composite – four or more surfaces or involving incisal angle (anterior)</t>
  </si>
  <si>
    <t>Resin-based composite – one surface, posterior</t>
  </si>
  <si>
    <t>Resin-based composite – two surfaces, posterior</t>
  </si>
  <si>
    <t>Resin-based composite – three surfaces, posterior</t>
  </si>
  <si>
    <t>Resin-based composite – four or more surfaces, posterior</t>
  </si>
  <si>
    <t>Prefabricated stainless steel crown – primary tooth</t>
  </si>
  <si>
    <t>Prefabricated stainless steel crown – permanent tooth</t>
  </si>
  <si>
    <t>Protective restoration</t>
  </si>
  <si>
    <t>Interim therapeutic restoration – primary dentition</t>
  </si>
  <si>
    <t>Pulp cap – direct (excluding final restoration)</t>
  </si>
  <si>
    <t>Pulp cap – indirect (excluding final restoration)</t>
  </si>
  <si>
    <t>Periodontal scaling and root planing – four or more teeth per quadrant</t>
  </si>
  <si>
    <t>Periodontal scaling and root planing – one to three teeth per quadrant</t>
  </si>
  <si>
    <t>Full mouth debrid,enable comp periodont eval &amp; dx on sub vis</t>
  </si>
  <si>
    <t>Extraction, erupted tooth or exposed root (elevation and/or forceps removal)</t>
  </si>
  <si>
    <t>Extraction, erupted tooth requiring removal of bone and/or sectioning of tooth, and including elevation of mucoperiosteal flap if indicated</t>
  </si>
  <si>
    <t>Alveoloplasty in conjunction with extractions – four or more teeth or tooth spaces, per quadrant</t>
  </si>
  <si>
    <t>Alveoloplasty in conjunction with extractions – one to three teeth or tooth spaces, per quadrant</t>
  </si>
  <si>
    <t>Incision and drainage of abscess – intraoral soft tissue – complicated (includes drainage of multiple fascial spaces)</t>
  </si>
  <si>
    <t xml:space="preserve">Palliative treatment of dental pain - per visit             </t>
  </si>
  <si>
    <t>Local anesthesia in conjunction with operative or surgical procedures</t>
  </si>
  <si>
    <t>Consultation – diagnostic service provided by dentist or physician other than requesting dentist or physician</t>
  </si>
  <si>
    <t>Treatment of complications (post–surgical) – unusual circumstances, by report</t>
  </si>
  <si>
    <t>CY2024 RVU Conversion Factor Dental:</t>
  </si>
  <si>
    <t>CY2024 RVU Conversion Factor Medical:</t>
  </si>
  <si>
    <t>Mission Total Patients</t>
  </si>
  <si>
    <t>Mission Total Procedures</t>
  </si>
  <si>
    <t>RANK Name</t>
  </si>
  <si>
    <t>Service</t>
  </si>
  <si>
    <t>10. CDR Jordan Buzzell, with additional help, updated this spreadsheet as of 07 JUN 2025 to include the 2024 FMV (Fair Market Value) numbers.  This includes updated RVU's and the updated RVU conversion factor.  Someone else can work on getting the Mission, Overall, and Provider Summaries to work if you really want to tackle that.  I also intentionally left the break out for each service but we didn't use it for IRT Puerto Rico FY25.  I left it on there because future mission OIC's might want that metric.  At this IRT, the IRT program manager intially kept critizing us for tracking our own numbers but...would you know it...half way through the mission they realized the importance of tracking our own.  So, it is highly advised that Navy Dental always track their own numbers and also ensure that others stay in their respective lanes.  Only dental knows how to code and track production.  Questions?  CDR Jordan Buzzell, (619) 339-3531</t>
  </si>
  <si>
    <t>Further notes from CDR Buzzell:</t>
  </si>
  <si>
    <t>The website below is also referenced on the source values sheet below.  Of note, these values do not provide values for D1351 Sealant because instead it's showing "COUNSELING FOR THE CONTROL AND PREVENTION OF ADVERSE ORAL, BEHAVIORAL, AND SYSTEMIC HEALTH EFFECTS ASSOCIATED WITH HIGH-RISK SUBSTANCE USE".  For FY25 IRT PR, we just used code D2940 Protective Restoration to account for sealants.</t>
  </si>
  <si>
    <t>https://health.mil/Military-Health-Topics/Access-Cost-Quality-and-Safety/Uniform-Business-Office/UBO-Rates-Overview/MHS-UBO-Rates</t>
  </si>
  <si>
    <t>For IRT Puerto Rico, we forgot to code for local anesthesia given (D9215) so I went back into this spreadsheet and added these codes with a best guess as to how many patients received local based on what procedures the provider did that day and also based on how many patients the provider saw.  Even though we don't normally bill for this code in private practice, for the MHS UBO rates there is a value attached to that AND it states it's in conjunction with an operative or surgical procedure</t>
  </si>
  <si>
    <t>Total Fillings (Daily)</t>
  </si>
  <si>
    <t>Total Cleanings (Daily)</t>
  </si>
  <si>
    <t>Total Extractions (Daily)</t>
  </si>
  <si>
    <t>Grand Total Cleanings</t>
  </si>
  <si>
    <t>Grand Total Fillings</t>
  </si>
  <si>
    <t>Grand Total Extractions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</si>
</sst>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_(&quot;$&quot;* #,##0_);_(&quot;$&quot;* \(#,##0\);_(&quot;$&quot;* &quot;-&quot;??_);_(@_)"/>
  </numFmts>
  <fonts count="30" x14ac:knownFonts="1">
    <font>
      <sz val="11"/>
      <color theme="1"/>
      <name val="Calibri"/>
      <family val="2"/>
      <scheme val="minor"/>
    </font>
    <font>
      <sz val="11"/>
      <color rgb="FF3F3F76"/>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10"/>
      <name val="Calibri"/>
      <family val="2"/>
      <scheme val="minor"/>
    </font>
    <font>
      <sz val="10"/>
      <color theme="1"/>
      <name val="Calibri"/>
      <family val="2"/>
      <scheme val="minor"/>
    </font>
    <font>
      <b/>
      <sz val="11"/>
      <name val="Arial"/>
      <family val="2"/>
    </font>
    <font>
      <b/>
      <sz val="10"/>
      <name val="Arial"/>
      <family val="2"/>
    </font>
    <font>
      <b/>
      <u/>
      <sz val="10"/>
      <color indexed="8"/>
      <name val="Arial"/>
      <family val="2"/>
    </font>
    <font>
      <sz val="10"/>
      <name val="Arial"/>
      <family val="2"/>
    </font>
    <font>
      <sz val="11"/>
      <color indexed="8"/>
      <name val="Arial"/>
      <family val="2"/>
    </font>
    <font>
      <b/>
      <sz val="11"/>
      <color indexed="8"/>
      <name val="Calibri"/>
      <family val="2"/>
    </font>
    <font>
      <b/>
      <u/>
      <sz val="10"/>
      <name val="Arial"/>
      <family val="2"/>
    </font>
    <font>
      <b/>
      <sz val="16"/>
      <color indexed="8"/>
      <name val="Arial"/>
      <family val="2"/>
    </font>
    <font>
      <b/>
      <sz val="11"/>
      <name val="Calibri"/>
      <family val="2"/>
      <scheme val="minor"/>
    </font>
    <font>
      <b/>
      <sz val="9"/>
      <color rgb="FF000000"/>
      <name val="Tahoma"/>
      <family val="2"/>
    </font>
    <font>
      <sz val="9"/>
      <color rgb="FF000000"/>
      <name val="Tahoma"/>
      <family val="2"/>
    </font>
    <font>
      <sz val="8"/>
      <name val="Calibri"/>
      <family val="2"/>
      <scheme val="minor"/>
    </font>
    <font>
      <b/>
      <sz val="10"/>
      <color theme="0"/>
      <name val="Arial"/>
      <family val="2"/>
    </font>
    <font>
      <b/>
      <sz val="11"/>
      <color theme="0"/>
      <name val="Arial"/>
      <family val="2"/>
    </font>
    <font>
      <b/>
      <sz val="10"/>
      <color indexed="8"/>
      <name val="Arial"/>
      <family val="2"/>
    </font>
    <font>
      <sz val="11"/>
      <color theme="0"/>
      <name val="Calibri"/>
      <family val="2"/>
      <scheme val="minor"/>
    </font>
    <font>
      <sz val="24"/>
      <color theme="1"/>
      <name val="Calibri"/>
      <family val="2"/>
      <scheme val="minor"/>
    </font>
    <font>
      <sz val="16"/>
      <color theme="1"/>
      <name val="Calibri"/>
      <family val="2"/>
      <scheme val="minor"/>
    </font>
    <font>
      <b/>
      <sz val="11"/>
      <color rgb="FFFF0000"/>
      <name val="Calibri"/>
      <family val="2"/>
      <scheme val="minor"/>
    </font>
    <font>
      <b/>
      <i/>
      <sz val="11"/>
      <color rgb="FFFF0000"/>
      <name val="Calibri"/>
      <family val="2"/>
      <scheme val="minor"/>
    </font>
    <font>
      <b/>
      <i/>
      <sz val="11"/>
      <color theme="1"/>
      <name val="Calibri"/>
      <family val="2"/>
      <scheme val="minor"/>
    </font>
    <font>
      <b/>
      <u/>
      <sz val="11"/>
      <color theme="1"/>
      <name val="Calibri"/>
      <family val="2"/>
      <scheme val="minor"/>
    </font>
    <font>
      <u/>
      <sz val="11"/>
      <color theme="10"/>
      <name val="Calibri"/>
      <family val="2"/>
      <scheme val="minor"/>
    </font>
  </fonts>
  <fills count="24">
    <fill>
      <patternFill patternType="none"/>
    </fill>
    <fill>
      <patternFill patternType="gray125"/>
    </fill>
    <fill>
      <patternFill patternType="solid">
        <fgColor rgb="FFFFCC99"/>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rgb="FF00B0F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C99"/>
        <bgColor indexed="64"/>
      </patternFill>
    </fill>
    <fill>
      <patternFill patternType="solid">
        <fgColor rgb="FFFFFF99"/>
        <bgColor indexed="64"/>
      </patternFill>
    </fill>
    <fill>
      <patternFill patternType="solid">
        <fgColor theme="6"/>
        <bgColor indexed="64"/>
      </patternFill>
    </fill>
    <fill>
      <patternFill patternType="solid">
        <fgColor theme="9"/>
        <bgColor indexed="64"/>
      </patternFill>
    </fill>
    <fill>
      <patternFill patternType="solid">
        <fgColor theme="7"/>
        <bgColor indexed="64"/>
      </patternFill>
    </fill>
    <fill>
      <patternFill patternType="solid">
        <fgColor theme="8" tint="0.79998168889431442"/>
        <bgColor indexed="64"/>
      </patternFill>
    </fill>
    <fill>
      <patternFill patternType="solid">
        <fgColor theme="2" tint="-9.9948118533890809E-2"/>
        <bgColor indexed="64"/>
      </patternFill>
    </fill>
    <fill>
      <patternFill patternType="solid">
        <fgColor rgb="FF92D050"/>
        <bgColor indexed="64"/>
      </patternFill>
    </fill>
    <fill>
      <patternFill patternType="solid">
        <fgColor theme="4" tint="0.79998168889431442"/>
        <bgColor indexed="64"/>
      </patternFill>
    </fill>
    <fill>
      <patternFill patternType="solid">
        <fgColor rgb="FF0070C0"/>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s>
  <borders count="3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rgb="FF7F7F7F"/>
      </left>
      <right/>
      <top style="thin">
        <color rgb="FF7F7F7F"/>
      </top>
      <bottom style="thin">
        <color rgb="FF7F7F7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auto="1"/>
      </right>
      <top/>
      <bottom/>
      <diagonal/>
    </border>
    <border>
      <left style="thin">
        <color indexed="64"/>
      </left>
      <right style="thin">
        <color indexed="64"/>
      </right>
      <top/>
      <bottom/>
      <diagonal/>
    </border>
    <border>
      <left style="thin">
        <color indexed="64"/>
      </left>
      <right style="thin">
        <color rgb="FF7F7F7F"/>
      </right>
      <top style="thin">
        <color indexed="64"/>
      </top>
      <bottom style="thin">
        <color rgb="FF7F7F7F"/>
      </bottom>
      <diagonal/>
    </border>
    <border>
      <left style="thin">
        <color rgb="FF7F7F7F"/>
      </left>
      <right style="thin">
        <color rgb="FF7F7F7F"/>
      </right>
      <top style="thin">
        <color indexed="64"/>
      </top>
      <bottom style="thin">
        <color rgb="FF7F7F7F"/>
      </bottom>
      <diagonal/>
    </border>
    <border>
      <left/>
      <right/>
      <top style="thin">
        <color rgb="FF7F7F7F"/>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2" borderId="1"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29" fillId="0" borderId="0" applyNumberFormat="0" applyFill="0" applyBorder="0" applyAlignment="0" applyProtection="0"/>
  </cellStyleXfs>
  <cellXfs count="220">
    <xf numFmtId="0" fontId="0" fillId="0" borderId="0" xfId="0"/>
    <xf numFmtId="0" fontId="1" fillId="3" borderId="1" xfId="1" applyFill="1" applyAlignment="1" applyProtection="1">
      <alignment horizontal="center" vertical="center"/>
      <protection locked="0"/>
    </xf>
    <xf numFmtId="2" fontId="1" fillId="3" borderId="1" xfId="1" applyNumberFormat="1" applyFill="1" applyAlignment="1" applyProtection="1">
      <alignment horizontal="right" vertical="center"/>
      <protection locked="0"/>
    </xf>
    <xf numFmtId="0" fontId="1" fillId="2" borderId="1" xfId="1" applyProtection="1">
      <protection locked="0"/>
    </xf>
    <xf numFmtId="42" fontId="1" fillId="3" borderId="3" xfId="1" applyNumberFormat="1" applyFill="1" applyBorder="1" applyAlignment="1" applyProtection="1">
      <alignment horizontal="right" vertical="center"/>
    </xf>
    <xf numFmtId="0" fontId="0" fillId="0" borderId="2" xfId="0" applyBorder="1"/>
    <xf numFmtId="0" fontId="2" fillId="0" borderId="0" xfId="0" applyFont="1"/>
    <xf numFmtId="0" fontId="0" fillId="0" borderId="2" xfId="0" applyBorder="1" applyAlignment="1" applyProtection="1">
      <alignment horizontal="center" vertical="center"/>
      <protection locked="0"/>
    </xf>
    <xf numFmtId="0" fontId="4" fillId="0" borderId="0" xfId="0" applyFont="1"/>
    <xf numFmtId="0" fontId="0" fillId="0" borderId="0" xfId="0" applyAlignment="1">
      <alignment horizontal="left"/>
    </xf>
    <xf numFmtId="0" fontId="2" fillId="0" borderId="0" xfId="0" applyFont="1" applyAlignment="1">
      <alignment horizontal="center"/>
    </xf>
    <xf numFmtId="16" fontId="1" fillId="2" borderId="1" xfId="1" applyNumberFormat="1" applyProtection="1">
      <protection locked="0"/>
    </xf>
    <xf numFmtId="16" fontId="0" fillId="0" borderId="0" xfId="0" applyNumberFormat="1"/>
    <xf numFmtId="0" fontId="7" fillId="6" borderId="0" xfId="0" applyFont="1" applyFill="1"/>
    <xf numFmtId="0" fontId="7" fillId="6" borderId="8" xfId="0" applyFont="1" applyFill="1" applyBorder="1"/>
    <xf numFmtId="0" fontId="7" fillId="6" borderId="8" xfId="0" applyFont="1" applyFill="1" applyBorder="1" applyAlignment="1">
      <alignment horizontal="right" vertical="center"/>
    </xf>
    <xf numFmtId="4" fontId="7" fillId="6" borderId="8" xfId="0" applyNumberFormat="1" applyFont="1" applyFill="1" applyBorder="1"/>
    <xf numFmtId="4" fontId="8" fillId="6" borderId="9" xfId="3" applyNumberFormat="1" applyFont="1" applyFill="1" applyBorder="1" applyAlignment="1">
      <alignment horizontal="right" vertical="center"/>
    </xf>
    <xf numFmtId="0" fontId="8" fillId="0" borderId="2" xfId="0" applyFont="1" applyBorder="1" applyAlignment="1">
      <alignment horizontal="center" vertical="center" wrapText="1"/>
    </xf>
    <xf numFmtId="43" fontId="8" fillId="0" borderId="2" xfId="2" applyFont="1" applyBorder="1" applyAlignment="1" applyProtection="1">
      <alignment horizontal="right" vertical="center" wrapText="1"/>
    </xf>
    <xf numFmtId="4" fontId="8" fillId="0" borderId="2" xfId="2" applyNumberFormat="1" applyFont="1" applyBorder="1" applyAlignment="1" applyProtection="1">
      <alignment horizontal="center" vertical="center" wrapText="1"/>
    </xf>
    <xf numFmtId="0" fontId="0" fillId="0" borderId="9" xfId="0" applyBorder="1"/>
    <xf numFmtId="44" fontId="1" fillId="3" borderId="1" xfId="1" applyNumberFormat="1" applyFill="1" applyAlignment="1" applyProtection="1">
      <alignment horizontal="right" vertical="center"/>
    </xf>
    <xf numFmtId="43" fontId="0" fillId="0" borderId="0" xfId="0" applyNumberFormat="1"/>
    <xf numFmtId="0" fontId="1" fillId="2" borderId="1" xfId="1" applyAlignment="1" applyProtection="1">
      <alignment horizontal="center" vertical="center"/>
      <protection locked="0"/>
    </xf>
    <xf numFmtId="44" fontId="1" fillId="2" borderId="1" xfId="1" applyNumberFormat="1" applyAlignment="1" applyProtection="1">
      <alignment horizontal="right" vertical="center"/>
    </xf>
    <xf numFmtId="0" fontId="0" fillId="0" borderId="4" xfId="0" applyBorder="1" applyAlignment="1">
      <alignment horizontal="center" vertical="center"/>
    </xf>
    <xf numFmtId="0" fontId="13" fillId="0" borderId="2" xfId="0" applyFont="1" applyBorder="1" applyAlignment="1">
      <alignment horizontal="center" vertical="center"/>
    </xf>
    <xf numFmtId="4" fontId="0" fillId="0" borderId="2" xfId="2" applyNumberFormat="1" applyFont="1" applyBorder="1" applyAlignment="1" applyProtection="1">
      <alignment horizontal="right" vertical="center"/>
    </xf>
    <xf numFmtId="44" fontId="1" fillId="3" borderId="1" xfId="3" applyFont="1" applyFill="1" applyBorder="1" applyAlignment="1" applyProtection="1">
      <alignment horizontal="right" vertical="center"/>
      <protection locked="0"/>
    </xf>
    <xf numFmtId="2" fontId="1" fillId="2" borderId="1" xfId="1" applyNumberFormat="1" applyAlignment="1" applyProtection="1">
      <alignment horizontal="right" vertical="center"/>
      <protection locked="0"/>
    </xf>
    <xf numFmtId="44" fontId="1" fillId="2" borderId="1" xfId="3" applyFont="1" applyFill="1" applyBorder="1" applyAlignment="1" applyProtection="1">
      <alignment horizontal="right" vertical="center"/>
      <protection locked="0"/>
    </xf>
    <xf numFmtId="0" fontId="12" fillId="7" borderId="2" xfId="0" applyFont="1" applyFill="1" applyBorder="1" applyAlignment="1">
      <alignment horizontal="center" vertical="center"/>
    </xf>
    <xf numFmtId="0" fontId="0" fillId="7" borderId="4" xfId="0" applyFill="1" applyBorder="1" applyAlignment="1">
      <alignment horizontal="center" vertical="center"/>
    </xf>
    <xf numFmtId="164" fontId="0" fillId="7" borderId="2" xfId="2" applyNumberFormat="1" applyFont="1" applyFill="1" applyBorder="1" applyAlignment="1">
      <alignment horizontal="right" vertical="center"/>
    </xf>
    <xf numFmtId="4" fontId="0" fillId="7" borderId="2" xfId="2" applyNumberFormat="1" applyFont="1" applyFill="1" applyBorder="1" applyAlignment="1" applyProtection="1">
      <alignment horizontal="right" vertical="center"/>
    </xf>
    <xf numFmtId="0" fontId="14" fillId="8" borderId="2" xfId="0" applyFont="1" applyFill="1" applyBorder="1" applyAlignment="1">
      <alignment horizontal="center" vertical="center"/>
    </xf>
    <xf numFmtId="0" fontId="15" fillId="8" borderId="2" xfId="0" applyFont="1" applyFill="1" applyBorder="1"/>
    <xf numFmtId="0" fontId="15" fillId="8" borderId="2" xfId="2" applyNumberFormat="1" applyFont="1" applyFill="1" applyBorder="1"/>
    <xf numFmtId="4" fontId="15" fillId="8" borderId="2" xfId="2" applyNumberFormat="1" applyFont="1" applyFill="1" applyBorder="1" applyProtection="1"/>
    <xf numFmtId="43" fontId="0" fillId="0" borderId="0" xfId="2" applyFont="1" applyAlignment="1">
      <alignment horizontal="right" vertical="center"/>
    </xf>
    <xf numFmtId="4" fontId="0" fillId="0" borderId="0" xfId="2" applyNumberFormat="1" applyFont="1" applyAlignment="1">
      <alignment horizontal="center"/>
    </xf>
    <xf numFmtId="0" fontId="0" fillId="6" borderId="4" xfId="0" applyFill="1" applyBorder="1" applyAlignment="1">
      <alignment horizontal="center" vertical="center"/>
    </xf>
    <xf numFmtId="43" fontId="0" fillId="6" borderId="5" xfId="2" applyFont="1" applyFill="1" applyBorder="1" applyAlignment="1" applyProtection="1">
      <alignment horizontal="right" vertical="center"/>
    </xf>
    <xf numFmtId="0" fontId="0" fillId="9" borderId="1" xfId="0" applyFill="1" applyBorder="1"/>
    <xf numFmtId="44" fontId="8" fillId="6" borderId="9" xfId="3" applyFont="1" applyFill="1" applyBorder="1" applyAlignment="1">
      <alignment vertical="center"/>
    </xf>
    <xf numFmtId="44" fontId="8" fillId="10" borderId="9" xfId="3" applyFont="1" applyFill="1" applyBorder="1" applyAlignment="1">
      <alignment horizontal="left" vertical="center"/>
    </xf>
    <xf numFmtId="44" fontId="8" fillId="10" borderId="9" xfId="3" applyFont="1" applyFill="1" applyBorder="1" applyAlignment="1">
      <alignment horizontal="center" vertical="center"/>
    </xf>
    <xf numFmtId="43" fontId="8" fillId="10" borderId="9" xfId="2" applyFont="1" applyFill="1" applyBorder="1" applyAlignment="1">
      <alignment horizontal="center" vertical="center"/>
    </xf>
    <xf numFmtId="0" fontId="8" fillId="6" borderId="0" xfId="3" applyNumberFormat="1" applyFont="1" applyFill="1" applyBorder="1" applyAlignment="1">
      <alignment horizontal="center" vertical="center"/>
    </xf>
    <xf numFmtId="44" fontId="19" fillId="6" borderId="0" xfId="3" applyFont="1" applyFill="1" applyBorder="1" applyAlignment="1">
      <alignment horizontal="right" vertical="center"/>
    </xf>
    <xf numFmtId="0" fontId="19" fillId="6" borderId="0" xfId="3" applyNumberFormat="1" applyFont="1" applyFill="1" applyBorder="1" applyAlignment="1">
      <alignment horizontal="center" vertical="center"/>
    </xf>
    <xf numFmtId="4" fontId="19" fillId="6" borderId="0" xfId="3" applyNumberFormat="1" applyFont="1" applyFill="1" applyBorder="1" applyAlignment="1">
      <alignment horizontal="right" vertical="center"/>
    </xf>
    <xf numFmtId="44" fontId="19" fillId="6" borderId="0" xfId="3" applyFont="1" applyFill="1" applyBorder="1" applyAlignment="1">
      <alignment horizontal="center" vertical="center"/>
    </xf>
    <xf numFmtId="39" fontId="19" fillId="6" borderId="0" xfId="3" applyNumberFormat="1" applyFont="1" applyFill="1" applyBorder="1" applyAlignment="1">
      <alignment horizontal="center" vertical="center"/>
    </xf>
    <xf numFmtId="164" fontId="8" fillId="11" borderId="2" xfId="2" applyNumberFormat="1" applyFont="1" applyFill="1" applyBorder="1" applyAlignment="1">
      <alignment horizontal="center" vertical="center" wrapText="1"/>
    </xf>
    <xf numFmtId="164" fontId="8" fillId="12" borderId="2" xfId="2" applyNumberFormat="1" applyFont="1" applyFill="1" applyBorder="1" applyAlignment="1">
      <alignment horizontal="center" vertical="center" wrapText="1"/>
    </xf>
    <xf numFmtId="164" fontId="8" fillId="13" borderId="2" xfId="2" applyNumberFormat="1" applyFont="1" applyFill="1" applyBorder="1" applyAlignment="1">
      <alignment horizontal="center" vertical="center" wrapText="1"/>
    </xf>
    <xf numFmtId="164" fontId="8" fillId="0" borderId="2" xfId="2" applyNumberFormat="1" applyFont="1" applyFill="1" applyBorder="1" applyAlignment="1">
      <alignment horizontal="center" vertical="center" wrapText="1"/>
    </xf>
    <xf numFmtId="43" fontId="8" fillId="0" borderId="2" xfId="2" applyFont="1" applyBorder="1" applyAlignment="1">
      <alignment horizontal="right" vertical="center" wrapText="1"/>
    </xf>
    <xf numFmtId="4" fontId="8" fillId="0" borderId="2" xfId="2" applyNumberFormat="1" applyFont="1" applyBorder="1" applyAlignment="1">
      <alignment horizontal="center" vertical="center" wrapText="1"/>
    </xf>
    <xf numFmtId="0" fontId="9" fillId="14" borderId="2" xfId="0" applyFont="1" applyFill="1" applyBorder="1" applyAlignment="1">
      <alignment horizontal="center" vertical="center"/>
    </xf>
    <xf numFmtId="0" fontId="10" fillId="14" borderId="4" xfId="0" applyFont="1" applyFill="1" applyBorder="1" applyAlignment="1">
      <alignment horizontal="center" vertical="center"/>
    </xf>
    <xf numFmtId="164" fontId="10" fillId="14" borderId="10" xfId="2" applyNumberFormat="1" applyFont="1" applyFill="1" applyBorder="1" applyAlignment="1">
      <alignment horizontal="center" vertical="center"/>
    </xf>
    <xf numFmtId="164" fontId="10" fillId="14" borderId="6" xfId="2" applyNumberFormat="1" applyFont="1" applyFill="1" applyBorder="1" applyAlignment="1">
      <alignment horizontal="center" vertical="center"/>
    </xf>
    <xf numFmtId="43" fontId="11" fillId="14" borderId="6" xfId="2" applyFont="1" applyFill="1" applyBorder="1" applyAlignment="1">
      <alignment horizontal="right" vertical="center"/>
    </xf>
    <xf numFmtId="4" fontId="0" fillId="14" borderId="10" xfId="2" applyNumberFormat="1" applyFont="1" applyFill="1" applyBorder="1" applyAlignment="1">
      <alignment horizontal="center" vertical="center"/>
    </xf>
    <xf numFmtId="43" fontId="0" fillId="14" borderId="10" xfId="2" applyFont="1" applyFill="1" applyBorder="1" applyAlignment="1">
      <alignment horizontal="center" vertical="center"/>
    </xf>
    <xf numFmtId="0" fontId="0" fillId="0" borderId="2" xfId="0" applyBorder="1" applyAlignment="1">
      <alignment horizontal="center" vertical="center"/>
    </xf>
    <xf numFmtId="1" fontId="1" fillId="2" borderId="1" xfId="1" applyNumberFormat="1" applyAlignment="1" applyProtection="1">
      <alignment horizontal="center" vertical="center"/>
      <protection locked="0"/>
    </xf>
    <xf numFmtId="164" fontId="0" fillId="0" borderId="2" xfId="2" applyNumberFormat="1" applyFont="1" applyFill="1" applyBorder="1" applyAlignment="1">
      <alignment horizontal="center" vertical="center"/>
    </xf>
    <xf numFmtId="43" fontId="0" fillId="0" borderId="5" xfId="2" applyFont="1" applyBorder="1" applyAlignment="1">
      <alignment horizontal="right" vertical="center"/>
    </xf>
    <xf numFmtId="44" fontId="0" fillId="0" borderId="2" xfId="3" applyFont="1" applyFill="1" applyBorder="1" applyAlignment="1">
      <alignment horizontal="right" vertical="center"/>
    </xf>
    <xf numFmtId="44" fontId="0" fillId="0" borderId="2" xfId="3" applyFont="1" applyBorder="1" applyAlignment="1">
      <alignment horizontal="center" vertical="center"/>
    </xf>
    <xf numFmtId="0" fontId="2" fillId="15" borderId="2" xfId="0" applyFont="1" applyFill="1" applyBorder="1" applyAlignment="1">
      <alignment horizontal="center" vertical="center"/>
    </xf>
    <xf numFmtId="0" fontId="2" fillId="15" borderId="4" xfId="0" applyFont="1" applyFill="1" applyBorder="1" applyAlignment="1">
      <alignment horizontal="center" vertical="center"/>
    </xf>
    <xf numFmtId="164" fontId="2" fillId="15" borderId="2" xfId="2" applyNumberFormat="1" applyFont="1" applyFill="1" applyBorder="1" applyAlignment="1">
      <alignment horizontal="center" vertical="center"/>
    </xf>
    <xf numFmtId="43" fontId="2" fillId="15" borderId="5" xfId="2" applyFont="1" applyFill="1" applyBorder="1" applyAlignment="1">
      <alignment horizontal="right" vertical="center"/>
    </xf>
    <xf numFmtId="44" fontId="2" fillId="15" borderId="2" xfId="3" applyFont="1" applyFill="1" applyBorder="1" applyAlignment="1">
      <alignment horizontal="right" vertical="center"/>
    </xf>
    <xf numFmtId="44" fontId="2" fillId="15" borderId="2" xfId="2" applyNumberFormat="1" applyFont="1" applyFill="1" applyBorder="1" applyAlignment="1">
      <alignment horizontal="center" vertical="center"/>
    </xf>
    <xf numFmtId="164" fontId="2" fillId="15" borderId="2" xfId="2" applyNumberFormat="1" applyFont="1" applyFill="1" applyBorder="1"/>
    <xf numFmtId="164" fontId="2" fillId="15" borderId="2" xfId="2" applyNumberFormat="1" applyFont="1" applyFill="1" applyBorder="1" applyAlignment="1">
      <alignment horizontal="center"/>
    </xf>
    <xf numFmtId="44" fontId="2" fillId="15" borderId="2" xfId="2" applyNumberFormat="1" applyFont="1" applyFill="1" applyBorder="1"/>
    <xf numFmtId="164" fontId="2" fillId="15" borderId="2" xfId="2" applyNumberFormat="1" applyFont="1" applyFill="1" applyBorder="1" applyAlignment="1">
      <alignment horizontal="left" indent="1"/>
    </xf>
    <xf numFmtId="44" fontId="2" fillId="15" borderId="2" xfId="2" applyNumberFormat="1" applyFont="1" applyFill="1" applyBorder="1" applyAlignment="1">
      <alignment horizontal="left" indent="1"/>
    </xf>
    <xf numFmtId="165" fontId="2" fillId="15" borderId="2" xfId="3" applyNumberFormat="1" applyFont="1" applyFill="1" applyBorder="1" applyAlignment="1">
      <alignment horizontal="center" vertical="center"/>
    </xf>
    <xf numFmtId="164" fontId="15" fillId="8" borderId="2" xfId="2" applyNumberFormat="1" applyFont="1" applyFill="1" applyBorder="1"/>
    <xf numFmtId="164" fontId="15" fillId="8" borderId="2" xfId="2" applyNumberFormat="1" applyFont="1" applyFill="1" applyBorder="1" applyAlignment="1">
      <alignment horizontal="center"/>
    </xf>
    <xf numFmtId="164" fontId="0" fillId="0" borderId="0" xfId="2" applyNumberFormat="1" applyFont="1" applyFill="1" applyBorder="1"/>
    <xf numFmtId="43" fontId="0" fillId="0" borderId="0" xfId="2" applyFont="1"/>
    <xf numFmtId="0" fontId="10" fillId="14" borderId="7" xfId="0" applyFont="1" applyFill="1" applyBorder="1" applyAlignment="1">
      <alignment horizontal="center" vertical="center"/>
    </xf>
    <xf numFmtId="0" fontId="0" fillId="0" borderId="0" xfId="0" applyAlignment="1">
      <alignment horizontal="center" vertical="center"/>
    </xf>
    <xf numFmtId="0" fontId="0" fillId="16" borderId="2" xfId="0" applyFill="1" applyBorder="1"/>
    <xf numFmtId="164" fontId="10" fillId="14" borderId="0" xfId="2" applyNumberFormat="1" applyFont="1" applyFill="1" applyBorder="1" applyAlignment="1">
      <alignment horizontal="center" vertical="center"/>
    </xf>
    <xf numFmtId="0" fontId="10" fillId="14" borderId="2" xfId="0" applyFont="1" applyFill="1" applyBorder="1" applyAlignment="1">
      <alignment horizontal="center" vertical="center"/>
    </xf>
    <xf numFmtId="164" fontId="10" fillId="14" borderId="11" xfId="2" applyNumberFormat="1" applyFont="1" applyFill="1" applyBorder="1" applyAlignment="1">
      <alignment horizontal="center" vertical="center"/>
    </xf>
    <xf numFmtId="43" fontId="11" fillId="14" borderId="11" xfId="2" applyFont="1" applyFill="1" applyBorder="1" applyAlignment="1">
      <alignment horizontal="right" vertical="center"/>
    </xf>
    <xf numFmtId="4" fontId="0" fillId="14" borderId="12" xfId="2" applyNumberFormat="1" applyFont="1" applyFill="1" applyBorder="1" applyAlignment="1">
      <alignment horizontal="center" vertical="center"/>
    </xf>
    <xf numFmtId="43" fontId="0" fillId="14" borderId="12" xfId="2" applyFont="1" applyFill="1" applyBorder="1" applyAlignment="1">
      <alignment horizontal="center" vertical="center"/>
    </xf>
    <xf numFmtId="43" fontId="0" fillId="0" borderId="6" xfId="2" applyFont="1" applyBorder="1" applyAlignment="1">
      <alignment horizontal="right" vertical="center"/>
    </xf>
    <xf numFmtId="0" fontId="1" fillId="3" borderId="1" xfId="1" applyFill="1" applyAlignment="1" applyProtection="1">
      <alignment horizontal="left" vertical="center"/>
    </xf>
    <xf numFmtId="0" fontId="1" fillId="3" borderId="1" xfId="1" applyFill="1" applyAlignment="1" applyProtection="1">
      <alignment horizontal="center" vertical="center"/>
    </xf>
    <xf numFmtId="2" fontId="1" fillId="3" borderId="1" xfId="1" applyNumberFormat="1" applyFill="1" applyAlignment="1" applyProtection="1">
      <alignment horizontal="right" vertical="center"/>
    </xf>
    <xf numFmtId="0" fontId="0" fillId="0" borderId="0" xfId="0" applyAlignment="1">
      <alignment horizontal="right"/>
    </xf>
    <xf numFmtId="42" fontId="0" fillId="0" borderId="0" xfId="0" applyNumberFormat="1"/>
    <xf numFmtId="0" fontId="0" fillId="0" borderId="0" xfId="0" applyAlignment="1">
      <alignment horizontal="right" vertical="center"/>
    </xf>
    <xf numFmtId="0" fontId="2" fillId="0" borderId="0" xfId="0" applyFont="1" applyAlignment="1">
      <alignment horizontal="center" vertical="center"/>
    </xf>
    <xf numFmtId="0" fontId="0" fillId="4" borderId="1" xfId="0" applyFill="1" applyBorder="1"/>
    <xf numFmtId="0" fontId="0" fillId="4" borderId="1" xfId="0" applyFill="1" applyBorder="1" applyAlignment="1">
      <alignment horizontal="center"/>
    </xf>
    <xf numFmtId="2" fontId="0" fillId="4" borderId="1" xfId="0" applyNumberFormat="1" applyFill="1" applyBorder="1"/>
    <xf numFmtId="42" fontId="0" fillId="4" borderId="3" xfId="0" applyNumberFormat="1" applyFill="1" applyBorder="1"/>
    <xf numFmtId="0" fontId="0" fillId="4" borderId="2" xfId="0" applyFill="1" applyBorder="1"/>
    <xf numFmtId="0" fontId="0" fillId="5" borderId="2" xfId="0" applyFill="1" applyBorder="1"/>
    <xf numFmtId="44" fontId="0" fillId="0" borderId="2" xfId="0" applyNumberFormat="1" applyBorder="1"/>
    <xf numFmtId="0" fontId="20" fillId="6" borderId="0" xfId="0" applyFont="1" applyFill="1" applyAlignment="1">
      <alignment horizontal="right"/>
    </xf>
    <xf numFmtId="0" fontId="22" fillId="18" borderId="2" xfId="0" applyFont="1" applyFill="1" applyBorder="1"/>
    <xf numFmtId="0" fontId="0" fillId="17" borderId="2" xfId="0" applyFill="1" applyBorder="1"/>
    <xf numFmtId="49" fontId="5" fillId="0" borderId="2" xfId="2" applyNumberFormat="1" applyFont="1" applyFill="1" applyBorder="1" applyAlignment="1">
      <alignment vertical="top"/>
    </xf>
    <xf numFmtId="49" fontId="6" fillId="0" borderId="2" xfId="0" applyNumberFormat="1" applyFont="1" applyBorder="1" applyAlignment="1">
      <alignment vertical="top"/>
    </xf>
    <xf numFmtId="16" fontId="1" fillId="0" borderId="1" xfId="1" applyNumberFormat="1" applyFill="1" applyProtection="1">
      <protection locked="0"/>
    </xf>
    <xf numFmtId="49" fontId="0" fillId="0" borderId="0" xfId="0" applyNumberFormat="1"/>
    <xf numFmtId="0" fontId="21" fillId="19" borderId="2" xfId="0" applyFont="1" applyFill="1" applyBorder="1" applyAlignment="1">
      <alignment horizontal="center" vertical="center"/>
    </xf>
    <xf numFmtId="0" fontId="10" fillId="19" borderId="4" xfId="0" applyFont="1" applyFill="1" applyBorder="1" applyAlignment="1">
      <alignment horizontal="center" vertical="center"/>
    </xf>
    <xf numFmtId="1" fontId="10" fillId="19" borderId="2" xfId="0" applyNumberFormat="1" applyFont="1" applyFill="1" applyBorder="1" applyAlignment="1" applyProtection="1">
      <alignment horizontal="center" vertical="center"/>
      <protection locked="0"/>
    </xf>
    <xf numFmtId="0" fontId="10" fillId="19" borderId="2" xfId="0" applyFont="1" applyFill="1" applyBorder="1" applyAlignment="1" applyProtection="1">
      <alignment horizontal="center" vertical="center"/>
      <protection locked="0"/>
    </xf>
    <xf numFmtId="0" fontId="23" fillId="0" borderId="0" xfId="0" applyFont="1"/>
    <xf numFmtId="0" fontId="24" fillId="0" borderId="0" xfId="0" applyFont="1"/>
    <xf numFmtId="1" fontId="1" fillId="19" borderId="13" xfId="1" applyNumberFormat="1" applyFill="1" applyBorder="1" applyAlignment="1" applyProtection="1">
      <alignment horizontal="center" vertical="center"/>
      <protection locked="0"/>
    </xf>
    <xf numFmtId="1" fontId="1" fillId="19" borderId="14" xfId="1" applyNumberFormat="1" applyFill="1" applyBorder="1" applyAlignment="1" applyProtection="1">
      <alignment horizontal="center" vertical="center"/>
      <protection locked="0"/>
    </xf>
    <xf numFmtId="164" fontId="0" fillId="19" borderId="2" xfId="2" applyNumberFormat="1" applyFont="1" applyFill="1" applyBorder="1" applyAlignment="1">
      <alignment horizontal="center" vertical="center"/>
    </xf>
    <xf numFmtId="43" fontId="0" fillId="19" borderId="5" xfId="2" applyFont="1" applyFill="1" applyBorder="1" applyAlignment="1">
      <alignment horizontal="right" vertical="center"/>
    </xf>
    <xf numFmtId="44" fontId="0" fillId="19" borderId="2" xfId="3" applyFont="1" applyFill="1" applyBorder="1" applyAlignment="1">
      <alignment horizontal="right" vertical="center"/>
    </xf>
    <xf numFmtId="44" fontId="0" fillId="19" borderId="2" xfId="3" applyFont="1" applyFill="1" applyBorder="1" applyAlignment="1">
      <alignment horizontal="center" vertical="center"/>
    </xf>
    <xf numFmtId="0" fontId="1" fillId="0" borderId="15" xfId="1" applyFill="1" applyBorder="1" applyProtection="1">
      <protection locked="0"/>
    </xf>
    <xf numFmtId="0" fontId="0" fillId="0" borderId="0" xfId="0" applyAlignment="1">
      <alignment wrapText="1"/>
    </xf>
    <xf numFmtId="0" fontId="25" fillId="0" borderId="0" xfId="0" applyFont="1" applyAlignment="1">
      <alignment wrapText="1"/>
    </xf>
    <xf numFmtId="0" fontId="0" fillId="0" borderId="0" xfId="0" applyAlignment="1">
      <alignment horizontal="center"/>
    </xf>
    <xf numFmtId="0" fontId="28" fillId="0" borderId="0" xfId="0" applyFont="1"/>
    <xf numFmtId="0" fontId="0" fillId="0" borderId="16" xfId="0" applyBorder="1"/>
    <xf numFmtId="16" fontId="0" fillId="0" borderId="17" xfId="0" applyNumberFormat="1" applyBorder="1"/>
    <xf numFmtId="16" fontId="0" fillId="0" borderId="19" xfId="0" applyNumberFormat="1" applyBorder="1"/>
    <xf numFmtId="0" fontId="0" fillId="22" borderId="2" xfId="0" applyFill="1" applyBorder="1" applyAlignment="1">
      <alignment horizontal="center"/>
    </xf>
    <xf numFmtId="0" fontId="0" fillId="22" borderId="20" xfId="0" applyFill="1" applyBorder="1" applyAlignment="1">
      <alignment horizontal="center"/>
    </xf>
    <xf numFmtId="0" fontId="0" fillId="17" borderId="2" xfId="0" applyFill="1" applyBorder="1" applyAlignment="1">
      <alignment horizontal="center"/>
    </xf>
    <xf numFmtId="0" fontId="0" fillId="17" borderId="20" xfId="0" applyFill="1" applyBorder="1" applyAlignment="1">
      <alignment horizontal="center"/>
    </xf>
    <xf numFmtId="0" fontId="0" fillId="23" borderId="2" xfId="0" applyFill="1" applyBorder="1" applyAlignment="1">
      <alignment horizontal="center"/>
    </xf>
    <xf numFmtId="0" fontId="0" fillId="23" borderId="18" xfId="0" applyFill="1" applyBorder="1"/>
    <xf numFmtId="0" fontId="0" fillId="23" borderId="20" xfId="0" applyFill="1" applyBorder="1" applyAlignment="1">
      <alignment horizontal="center"/>
    </xf>
    <xf numFmtId="0" fontId="0" fillId="23" borderId="21" xfId="0" applyFill="1" applyBorder="1"/>
    <xf numFmtId="0" fontId="0" fillId="0" borderId="22" xfId="0" applyBorder="1"/>
    <xf numFmtId="0" fontId="0" fillId="22" borderId="10" xfId="0" applyFill="1" applyBorder="1" applyAlignment="1">
      <alignment horizontal="center"/>
    </xf>
    <xf numFmtId="0" fontId="0" fillId="17" borderId="10" xfId="0" applyFill="1" applyBorder="1" applyAlignment="1">
      <alignment horizontal="center"/>
    </xf>
    <xf numFmtId="0" fontId="0" fillId="23" borderId="10" xfId="0" applyFill="1" applyBorder="1" applyAlignment="1">
      <alignment horizontal="center"/>
    </xf>
    <xf numFmtId="0" fontId="0" fillId="23" borderId="25" xfId="0" applyFill="1" applyBorder="1"/>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22" borderId="30" xfId="0" applyFill="1" applyBorder="1" applyAlignment="1">
      <alignment horizontal="center"/>
    </xf>
    <xf numFmtId="0" fontId="0" fillId="17" borderId="30" xfId="0" applyFill="1" applyBorder="1" applyAlignment="1">
      <alignment horizontal="center"/>
    </xf>
    <xf numFmtId="0" fontId="0" fillId="17" borderId="30" xfId="0" applyFill="1" applyBorder="1"/>
    <xf numFmtId="0" fontId="0" fillId="23" borderId="30" xfId="0" applyFill="1" applyBorder="1"/>
    <xf numFmtId="0" fontId="0" fillId="23" borderId="31" xfId="0" applyFill="1" applyBorder="1"/>
    <xf numFmtId="0" fontId="0" fillId="0" borderId="32" xfId="0" applyBorder="1" applyAlignment="1">
      <alignment horizontal="center"/>
    </xf>
    <xf numFmtId="0" fontId="0" fillId="22" borderId="33" xfId="0" applyFill="1" applyBorder="1" applyAlignment="1">
      <alignment horizontal="center"/>
    </xf>
    <xf numFmtId="0" fontId="0" fillId="17" borderId="33" xfId="0" applyFill="1" applyBorder="1" applyAlignment="1">
      <alignment horizontal="center"/>
    </xf>
    <xf numFmtId="0" fontId="0" fillId="23" borderId="33" xfId="0" applyFill="1" applyBorder="1" applyAlignment="1">
      <alignment horizontal="center"/>
    </xf>
    <xf numFmtId="0" fontId="0" fillId="23" borderId="34" xfId="0" applyFill="1" applyBorder="1" applyAlignment="1">
      <alignment horizontal="center"/>
    </xf>
    <xf numFmtId="0" fontId="0" fillId="22" borderId="29" xfId="0" applyFill="1" applyBorder="1" applyAlignment="1">
      <alignment horizontal="center"/>
    </xf>
    <xf numFmtId="0" fontId="0" fillId="22" borderId="32" xfId="0" applyFill="1" applyBorder="1" applyAlignment="1">
      <alignment horizontal="center"/>
    </xf>
    <xf numFmtId="3" fontId="0" fillId="22" borderId="10" xfId="0" applyNumberFormat="1" applyFill="1" applyBorder="1" applyAlignment="1">
      <alignment horizontal="center"/>
    </xf>
    <xf numFmtId="3" fontId="0" fillId="22" borderId="2" xfId="0" applyNumberFormat="1" applyFill="1" applyBorder="1" applyAlignment="1">
      <alignment horizontal="center"/>
    </xf>
    <xf numFmtId="3" fontId="0" fillId="22" borderId="20" xfId="0" applyNumberFormat="1" applyFill="1" applyBorder="1" applyAlignment="1">
      <alignment horizontal="center"/>
    </xf>
    <xf numFmtId="3" fontId="0" fillId="22" borderId="30" xfId="0" applyNumberFormat="1" applyFill="1" applyBorder="1" applyAlignment="1">
      <alignment horizontal="center"/>
    </xf>
    <xf numFmtId="6" fontId="0" fillId="22" borderId="33" xfId="0" applyNumberFormat="1" applyFill="1" applyBorder="1" applyAlignment="1">
      <alignment horizontal="center"/>
    </xf>
    <xf numFmtId="3" fontId="0" fillId="17" borderId="10" xfId="0" applyNumberFormat="1" applyFill="1" applyBorder="1"/>
    <xf numFmtId="3" fontId="0" fillId="17" borderId="2" xfId="0" applyNumberFormat="1" applyFill="1" applyBorder="1"/>
    <xf numFmtId="3" fontId="0" fillId="17" borderId="20" xfId="0" applyNumberFormat="1" applyFill="1" applyBorder="1"/>
    <xf numFmtId="3" fontId="0" fillId="17" borderId="30" xfId="0" applyNumberFormat="1" applyFill="1" applyBorder="1"/>
    <xf numFmtId="6" fontId="0" fillId="17" borderId="33" xfId="0" applyNumberFormat="1" applyFill="1" applyBorder="1" applyAlignment="1">
      <alignment horizontal="center"/>
    </xf>
    <xf numFmtId="0" fontId="29" fillId="0" borderId="0" xfId="4"/>
    <xf numFmtId="44" fontId="20" fillId="6" borderId="9" xfId="3" applyFont="1" applyFill="1" applyBorder="1" applyAlignment="1">
      <alignment horizontal="left" vertical="center"/>
    </xf>
    <xf numFmtId="44" fontId="20" fillId="6" borderId="0" xfId="3" applyFont="1" applyFill="1" applyBorder="1" applyAlignment="1" applyProtection="1">
      <alignment horizontal="right" vertical="center"/>
    </xf>
    <xf numFmtId="44" fontId="19" fillId="6" borderId="0" xfId="3" applyFont="1" applyFill="1" applyBorder="1" applyAlignment="1" applyProtection="1">
      <alignment horizontal="center" vertical="center"/>
    </xf>
    <xf numFmtId="44" fontId="20" fillId="6" borderId="0" xfId="3" applyFont="1" applyFill="1" applyBorder="1" applyAlignment="1" applyProtection="1">
      <alignment horizontal="left" vertical="center"/>
    </xf>
    <xf numFmtId="44" fontId="0" fillId="0" borderId="0" xfId="3" applyFont="1" applyAlignment="1">
      <alignment horizontal="center"/>
    </xf>
    <xf numFmtId="0" fontId="0" fillId="22" borderId="0" xfId="0" applyFill="1" applyAlignment="1">
      <alignment horizontal="center"/>
    </xf>
    <xf numFmtId="1" fontId="0" fillId="14" borderId="0" xfId="0" applyNumberFormat="1" applyFill="1" applyAlignment="1">
      <alignment horizontal="center"/>
    </xf>
    <xf numFmtId="1" fontId="0" fillId="23" borderId="0" xfId="0" applyNumberFormat="1" applyFill="1" applyAlignment="1">
      <alignment horizontal="center"/>
    </xf>
    <xf numFmtId="44" fontId="0" fillId="22" borderId="0" xfId="3" applyFont="1" applyFill="1" applyAlignment="1">
      <alignment horizontal="center"/>
    </xf>
    <xf numFmtId="44" fontId="0" fillId="17" borderId="0" xfId="3" applyFont="1" applyFill="1" applyAlignment="1">
      <alignment horizontal="center"/>
    </xf>
    <xf numFmtId="1" fontId="0" fillId="17" borderId="0" xfId="0" applyNumberFormat="1" applyFill="1" applyAlignment="1">
      <alignment horizontal="center"/>
    </xf>
    <xf numFmtId="44" fontId="0" fillId="23" borderId="0" xfId="3" applyFont="1" applyFill="1" applyAlignment="1">
      <alignment horizontal="center"/>
    </xf>
    <xf numFmtId="0" fontId="0" fillId="3" borderId="0" xfId="3" applyNumberFormat="1" applyFont="1" applyFill="1"/>
    <xf numFmtId="44" fontId="0" fillId="3" borderId="0" xfId="3" applyFont="1" applyFill="1"/>
    <xf numFmtId="44" fontId="2" fillId="0" borderId="0" xfId="3" applyFont="1" applyAlignment="1">
      <alignment horizontal="center"/>
    </xf>
    <xf numFmtId="16" fontId="20" fillId="6" borderId="8" xfId="0" applyNumberFormat="1" applyFont="1" applyFill="1" applyBorder="1" applyAlignment="1">
      <alignment horizontal="left"/>
    </xf>
    <xf numFmtId="1" fontId="0" fillId="22" borderId="0" xfId="0" applyNumberFormat="1" applyFill="1" applyAlignment="1">
      <alignment horizontal="center"/>
    </xf>
    <xf numFmtId="1" fontId="2" fillId="0" borderId="0" xfId="3" applyNumberFormat="1" applyFont="1" applyAlignment="1">
      <alignment horizontal="center"/>
    </xf>
    <xf numFmtId="0" fontId="2" fillId="20" borderId="0" xfId="0" applyFont="1" applyFill="1" applyAlignment="1">
      <alignment horizontal="center" vertical="center"/>
    </xf>
    <xf numFmtId="0" fontId="2" fillId="18" borderId="0" xfId="0" applyFont="1" applyFill="1" applyAlignment="1">
      <alignment horizontal="center" vertical="center"/>
    </xf>
    <xf numFmtId="0" fontId="2" fillId="21" borderId="0" xfId="0" applyFont="1" applyFill="1" applyAlignment="1">
      <alignment horizontal="center" vertical="center"/>
    </xf>
    <xf numFmtId="0" fontId="2" fillId="13" borderId="0" xfId="0" applyFont="1" applyFill="1" applyAlignment="1">
      <alignment horizontal="center" vertical="center"/>
    </xf>
    <xf numFmtId="16" fontId="20" fillId="6" borderId="0" xfId="0" applyNumberFormat="1" applyFont="1" applyFill="1"/>
    <xf numFmtId="44" fontId="19" fillId="6" borderId="0" xfId="3" applyFont="1" applyFill="1" applyBorder="1" applyAlignment="1" applyProtection="1">
      <alignment horizontal="left" vertical="center"/>
    </xf>
    <xf numFmtId="0" fontId="0" fillId="8" borderId="0" xfId="0" applyFill="1"/>
    <xf numFmtId="0" fontId="0" fillId="0" borderId="4" xfId="0" applyBorder="1" applyAlignment="1" applyProtection="1">
      <alignment horizontal="center" vertical="center"/>
      <protection locked="0"/>
    </xf>
    <xf numFmtId="44" fontId="15" fillId="8" borderId="2" xfId="2" applyNumberFormat="1" applyFont="1" applyFill="1" applyBorder="1"/>
    <xf numFmtId="0" fontId="29" fillId="0" borderId="0" xfId="4" applyAlignment="1">
      <alignment wrapText="1"/>
    </xf>
    <xf numFmtId="44" fontId="8" fillId="6" borderId="0" xfId="3" applyFont="1" applyFill="1" applyBorder="1" applyAlignment="1">
      <alignment horizontal="center" vertical="center"/>
    </xf>
    <xf numFmtId="4" fontId="8" fillId="6" borderId="9" xfId="3" applyNumberFormat="1" applyFont="1" applyFill="1" applyBorder="1" applyAlignment="1">
      <alignment horizontal="center" vertical="center"/>
    </xf>
    <xf numFmtId="0" fontId="2" fillId="0" borderId="0" xfId="0" applyFont="1" applyAlignment="1">
      <alignment horizontal="center"/>
    </xf>
    <xf numFmtId="0" fontId="2" fillId="20" borderId="23" xfId="0" applyFont="1" applyFill="1" applyBorder="1" applyAlignment="1">
      <alignment horizontal="center"/>
    </xf>
    <xf numFmtId="0" fontId="2" fillId="18" borderId="23" xfId="0" applyFont="1" applyFill="1" applyBorder="1" applyAlignment="1">
      <alignment horizontal="center"/>
    </xf>
    <xf numFmtId="0" fontId="2" fillId="21" borderId="23" xfId="0" applyFont="1" applyFill="1" applyBorder="1" applyAlignment="1">
      <alignment horizontal="center"/>
    </xf>
    <xf numFmtId="0" fontId="2" fillId="21" borderId="24" xfId="0" applyFont="1" applyFill="1" applyBorder="1" applyAlignment="1">
      <alignment horizont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cellXfs>
  <cellStyles count="5">
    <cellStyle name="Comma" xfId="2" builtinId="3"/>
    <cellStyle name="Currency" xfId="3" builtinId="4"/>
    <cellStyle name="Hyperlink" xfId="4" builtinId="8"/>
    <cellStyle name="Input" xfId="1" builtinId="20"/>
    <cellStyle name="Normal" xfId="0" builtinId="0"/>
  </cellStyles>
  <dxfs count="0"/>
  <tableStyles count="0" defaultTableStyle="TableStyleMedium2" defaultPivotStyle="PivotStyleLight16"/>
  <colors>
    <mruColors>
      <color rgb="FF7F7F7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190500</xdr:colOff>
      <xdr:row>12</xdr:row>
      <xdr:rowOff>161924</xdr:rowOff>
    </xdr:from>
    <xdr:to>
      <xdr:col>7</xdr:col>
      <xdr:colOff>466725</xdr:colOff>
      <xdr:row>39</xdr:row>
      <xdr:rowOff>66675</xdr:rowOff>
    </xdr:to>
    <xdr:sp macro="" textlink="">
      <xdr:nvSpPr>
        <xdr:cNvPr id="2" name="TextBox 1">
          <a:extLst>
            <a:ext uri="{FF2B5EF4-FFF2-40B4-BE49-F238E27FC236}">
              <a16:creationId xmlns:a16="http://schemas.microsoft.com/office/drawing/2014/main" id="{D1A8E9AF-49CA-4B4A-805C-395181EDCFF9}"/>
            </a:ext>
          </a:extLst>
        </xdr:cNvPr>
        <xdr:cNvSpPr txBox="1"/>
      </xdr:nvSpPr>
      <xdr:spPr>
        <a:xfrm>
          <a:off x="2266950" y="2524124"/>
          <a:ext cx="3324225" cy="5048251"/>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Instructions</a:t>
          </a:r>
        </a:p>
        <a:p>
          <a:endParaRPr lang="en-US" sz="1100"/>
        </a:p>
        <a:p>
          <a:r>
            <a:rPr lang="en-US" sz="1100"/>
            <a:t>This</a:t>
          </a:r>
          <a:r>
            <a:rPr lang="en-US" sz="1100" baseline="0"/>
            <a:t> spreadsheet can be used for up to five (5) sites in an IRT medical program. Data entry is limited to certain input fields </a:t>
          </a:r>
          <a:r>
            <a:rPr lang="en-US" sz="1100" baseline="0">
              <a:solidFill>
                <a:srgbClr val="FFC000"/>
              </a:solidFill>
            </a:rPr>
            <a:t>(orange).</a:t>
          </a:r>
          <a:endParaRPr lang="en-US" sz="1100" baseline="0">
            <a:solidFill>
              <a:schemeClr val="tx1"/>
            </a:solidFill>
          </a:endParaRPr>
        </a:p>
        <a:p>
          <a:endParaRPr lang="en-US" sz="1100" baseline="0">
            <a:solidFill>
              <a:schemeClr val="tx1"/>
            </a:solidFill>
          </a:endParaRPr>
        </a:p>
        <a:p>
          <a:r>
            <a:rPr lang="en-US" sz="1100" baseline="0">
              <a:solidFill>
                <a:schemeClr val="tx1"/>
              </a:solidFill>
            </a:rPr>
            <a:t>Use the following sheets for primary data variables;</a:t>
          </a:r>
          <a:br>
            <a:rPr lang="en-US" sz="1100" baseline="0">
              <a:solidFill>
                <a:schemeClr val="tx1"/>
              </a:solidFill>
            </a:rPr>
          </a:br>
          <a:endParaRPr lang="en-US" sz="1100" baseline="0">
            <a:solidFill>
              <a:schemeClr val="tx1"/>
            </a:solidFill>
          </a:endParaRPr>
        </a:p>
        <a:p>
          <a:r>
            <a:rPr lang="en-US" sz="1100" b="1" baseline="0">
              <a:solidFill>
                <a:schemeClr val="tx1"/>
              </a:solidFill>
            </a:rPr>
            <a:t>ProjectDetails - </a:t>
          </a:r>
          <a:r>
            <a:rPr lang="en-US" sz="1100" baseline="0">
              <a:solidFill>
                <a:schemeClr val="tx1"/>
              </a:solidFill>
            </a:rPr>
            <a:t>add site names and project dates.</a:t>
          </a:r>
        </a:p>
        <a:p>
          <a:endParaRPr lang="en-US" sz="1100" baseline="0">
            <a:solidFill>
              <a:schemeClr val="tx1"/>
            </a:solidFill>
          </a:endParaRPr>
        </a:p>
        <a:p>
          <a:r>
            <a:rPr lang="en-US" sz="1100" b="1" baseline="0">
              <a:solidFill>
                <a:schemeClr val="tx1"/>
              </a:solidFill>
            </a:rPr>
            <a:t>SourceValues - </a:t>
          </a:r>
          <a:r>
            <a:rPr lang="en-US" sz="1100" baseline="0">
              <a:solidFill>
                <a:schemeClr val="tx1"/>
              </a:solidFill>
            </a:rPr>
            <a:t>input procedures, CPT codes and fair market value data here.</a:t>
          </a:r>
        </a:p>
        <a:p>
          <a:endParaRPr lang="en-US" sz="1100" baseline="0">
            <a:solidFill>
              <a:schemeClr val="tx1"/>
            </a:solidFill>
          </a:endParaRPr>
        </a:p>
        <a:p>
          <a:r>
            <a:rPr lang="en-US" sz="1100" b="1" baseline="0">
              <a:solidFill>
                <a:schemeClr val="tx1"/>
              </a:solidFill>
            </a:rPr>
            <a:t>Site#Summary</a:t>
          </a:r>
          <a:r>
            <a:rPr lang="en-US" sz="1100" b="0" baseline="0">
              <a:solidFill>
                <a:schemeClr val="tx1"/>
              </a:solidFill>
            </a:rPr>
            <a:t> -</a:t>
          </a:r>
          <a:r>
            <a:rPr lang="en-US" sz="1100" baseline="0">
              <a:solidFill>
                <a:schemeClr val="tx1"/>
              </a:solidFill>
            </a:rPr>
            <a:t> Add total number of patients seen each day.</a:t>
          </a:r>
        </a:p>
        <a:p>
          <a:endParaRPr lang="en-US" sz="1100" baseline="0">
            <a:solidFill>
              <a:schemeClr val="tx1"/>
            </a:solidFill>
          </a:endParaRPr>
        </a:p>
        <a:p>
          <a:r>
            <a:rPr lang="en-US" sz="1100" b="1" baseline="0">
              <a:solidFill>
                <a:schemeClr val="tx1"/>
              </a:solidFill>
            </a:rPr>
            <a:t>Site#Day#</a:t>
          </a:r>
          <a:r>
            <a:rPr lang="en-US" sz="1100" baseline="0">
              <a:solidFill>
                <a:schemeClr val="tx1"/>
              </a:solidFill>
            </a:rPr>
            <a:t> - enter the number of procedures by service type.</a:t>
          </a:r>
        </a:p>
        <a:p>
          <a:endParaRPr lang="en-US" sz="1100" baseline="0">
            <a:solidFill>
              <a:schemeClr val="tx1"/>
            </a:solidFill>
          </a:endParaRPr>
        </a:p>
        <a:p>
          <a:r>
            <a:rPr lang="en-US" sz="1100" b="1" baseline="0">
              <a:solidFill>
                <a:schemeClr val="tx1"/>
              </a:solidFill>
            </a:rPr>
            <a:t>Participating Services</a:t>
          </a:r>
          <a:r>
            <a:rPr lang="en-US" sz="1100" baseline="0">
              <a:solidFill>
                <a:schemeClr val="tx1"/>
              </a:solidFill>
            </a:rPr>
            <a:t> - choose from the dropdown list. You can add services by unhiding column K in this spreadsheet.</a:t>
          </a:r>
        </a:p>
        <a:p>
          <a:endParaRPr lang="en-US" sz="1100" baseline="0">
            <a:solidFill>
              <a:schemeClr val="tx1"/>
            </a:solidFill>
          </a:endParaRPr>
        </a:p>
        <a:p>
          <a:r>
            <a:rPr lang="en-US" sz="1100" b="1" baseline="0">
              <a:solidFill>
                <a:schemeClr val="tx1"/>
              </a:solidFill>
            </a:rPr>
            <a:t>SourceValue Page</a:t>
          </a:r>
          <a:r>
            <a:rPr lang="en-US" sz="1100" baseline="0">
              <a:solidFill>
                <a:schemeClr val="tx1"/>
              </a:solidFill>
            </a:rPr>
            <a:t> - Data on the SourceValue page comes from the physician fee schedule published by the Centers for Medicare and Medicaid Services (CMS.gov). A link to the Relative Value files is in the comment box.</a:t>
          </a:r>
        </a:p>
      </xdr:txBody>
    </xdr:sp>
    <xdr:clientData/>
  </xdr:twoCellAnchor>
  <xdr:twoCellAnchor editAs="oneCell">
    <xdr:from>
      <xdr:col>4</xdr:col>
      <xdr:colOff>390525</xdr:colOff>
      <xdr:row>4</xdr:row>
      <xdr:rowOff>57150</xdr:rowOff>
    </xdr:from>
    <xdr:to>
      <xdr:col>6</xdr:col>
      <xdr:colOff>454342</xdr:colOff>
      <xdr:row>11</xdr:row>
      <xdr:rowOff>3175</xdr:rowOff>
    </xdr:to>
    <xdr:pic>
      <xdr:nvPicPr>
        <xdr:cNvPr id="3" name="Picture 2">
          <a:extLst>
            <a:ext uri="{FF2B5EF4-FFF2-40B4-BE49-F238E27FC236}">
              <a16:creationId xmlns:a16="http://schemas.microsoft.com/office/drawing/2014/main" id="{E4BD8EFC-DED6-41C6-8896-A564B7D0A084}"/>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686175" y="895350"/>
          <a:ext cx="1271587" cy="12715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657225</xdr:colOff>
      <xdr:row>3</xdr:row>
      <xdr:rowOff>0</xdr:rowOff>
    </xdr:from>
    <xdr:to>
      <xdr:col>3</xdr:col>
      <xdr:colOff>2486025</xdr:colOff>
      <xdr:row>3</xdr:row>
      <xdr:rowOff>0</xdr:rowOff>
    </xdr:to>
    <xdr:cxnSp macro="">
      <xdr:nvCxnSpPr>
        <xdr:cNvPr id="3" name="Straight Connector 2">
          <a:extLst>
            <a:ext uri="{FF2B5EF4-FFF2-40B4-BE49-F238E27FC236}">
              <a16:creationId xmlns:a16="http://schemas.microsoft.com/office/drawing/2014/main" id="{C0F65B75-13AC-4DE0-9FF4-437A132D015F}"/>
            </a:ext>
          </a:extLst>
        </xdr:cNvPr>
        <xdr:cNvCxnSpPr/>
      </xdr:nvCxnSpPr>
      <xdr:spPr>
        <a:xfrm>
          <a:off x="2486025" y="857250"/>
          <a:ext cx="18288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914400</xdr:colOff>
      <xdr:row>3</xdr:row>
      <xdr:rowOff>257175</xdr:rowOff>
    </xdr:from>
    <xdr:to>
      <xdr:col>3</xdr:col>
      <xdr:colOff>3181350</xdr:colOff>
      <xdr:row>3</xdr:row>
      <xdr:rowOff>257175</xdr:rowOff>
    </xdr:to>
    <xdr:cxnSp macro="">
      <xdr:nvCxnSpPr>
        <xdr:cNvPr id="5" name="Straight Connector 4">
          <a:extLst>
            <a:ext uri="{FF2B5EF4-FFF2-40B4-BE49-F238E27FC236}">
              <a16:creationId xmlns:a16="http://schemas.microsoft.com/office/drawing/2014/main" id="{E2C06C02-CF52-41B0-9C38-C6B9B64E4B8E}"/>
            </a:ext>
          </a:extLst>
        </xdr:cNvPr>
        <xdr:cNvCxnSpPr/>
      </xdr:nvCxnSpPr>
      <xdr:spPr>
        <a:xfrm>
          <a:off x="2743200" y="1114425"/>
          <a:ext cx="22669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838200</xdr:colOff>
      <xdr:row>4</xdr:row>
      <xdr:rowOff>257175</xdr:rowOff>
    </xdr:from>
    <xdr:to>
      <xdr:col>3</xdr:col>
      <xdr:colOff>2667000</xdr:colOff>
      <xdr:row>4</xdr:row>
      <xdr:rowOff>257175</xdr:rowOff>
    </xdr:to>
    <xdr:cxnSp macro="">
      <xdr:nvCxnSpPr>
        <xdr:cNvPr id="6" name="Straight Connector 5">
          <a:extLst>
            <a:ext uri="{FF2B5EF4-FFF2-40B4-BE49-F238E27FC236}">
              <a16:creationId xmlns:a16="http://schemas.microsoft.com/office/drawing/2014/main" id="{A5C0C00D-4681-4C17-AFED-3CBB94D3DFD9}"/>
            </a:ext>
          </a:extLst>
        </xdr:cNvPr>
        <xdr:cNvCxnSpPr/>
      </xdr:nvCxnSpPr>
      <xdr:spPr>
        <a:xfrm>
          <a:off x="2667000" y="1381125"/>
          <a:ext cx="18288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hillip%20Abeldt\Desktop\USN%20FY21%202021.05.04\AT\Metrics\2021%20Data%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Details"/>
      <sheetName val="Daily Summary"/>
      <sheetName val="Mission Dashboard"/>
      <sheetName val="Site Comparisons"/>
      <sheetName val="Site Summaries"/>
      <sheetName val="SourceValues"/>
      <sheetName val="Site1 Dashboard"/>
      <sheetName val="Site1Summary"/>
      <sheetName val="Site1Day1"/>
      <sheetName val="Site1Day2"/>
      <sheetName val="Site1Day3"/>
      <sheetName val="Site1Day4"/>
      <sheetName val="Site1Day5"/>
      <sheetName val="Site1Day6"/>
      <sheetName val="Site1Day7"/>
      <sheetName val="Site1Day8"/>
      <sheetName val="Site1Day9"/>
      <sheetName val="Site1Day10"/>
      <sheetName val="Site2 Dashboard"/>
      <sheetName val="Site2Summary"/>
      <sheetName val="Site2Day1"/>
      <sheetName val="Site2Day2"/>
      <sheetName val="Site2Day3"/>
      <sheetName val="Site2Day4"/>
      <sheetName val="Site2Day5"/>
      <sheetName val="Site2Day6"/>
      <sheetName val="Site2Day7"/>
      <sheetName val="Site2Day8"/>
      <sheetName val="Site2Day9"/>
      <sheetName val="Site2Day10"/>
      <sheetName val="Site3 Dashboard"/>
      <sheetName val="Site3Summary"/>
      <sheetName val="Site3Day1"/>
      <sheetName val="Site3Day2"/>
      <sheetName val="Site3Day3"/>
      <sheetName val="Site3Day4"/>
      <sheetName val="Site3Day5"/>
      <sheetName val="Site3Day6"/>
      <sheetName val="Site3Day7"/>
      <sheetName val="Site3Day8"/>
      <sheetName val="Site3Day9"/>
      <sheetName val="Site3Day10"/>
      <sheetName val="Site4 Dashboard"/>
      <sheetName val="Site4Summary"/>
      <sheetName val="Site4Day1"/>
      <sheetName val="Site4Day2"/>
      <sheetName val="Site4Day3"/>
      <sheetName val="Site4Day4"/>
      <sheetName val="Site4Day5"/>
      <sheetName val="Site4Day6"/>
      <sheetName val="Site4Day7"/>
      <sheetName val="Site4Day8"/>
      <sheetName val="Site4Day9"/>
      <sheetName val="Site4Day10"/>
      <sheetName val="Site5 Dashboard"/>
      <sheetName val="Site5Summary"/>
      <sheetName val="Site5Day1"/>
      <sheetName val="Site5Day2"/>
      <sheetName val="Site5Day3"/>
      <sheetName val="Site5Day4"/>
      <sheetName val="Site5Day5"/>
      <sheetName val="Site5Day6"/>
      <sheetName val="Site5Day7"/>
      <sheetName val="Site5Day8"/>
      <sheetName val="Site5Day9"/>
      <sheetName val="Site5Day10"/>
      <sheetName val="Site6 Dashboard"/>
      <sheetName val="Site6Summary"/>
      <sheetName val="Site6Day1"/>
      <sheetName val="Site6Day2"/>
      <sheetName val="Site6Day3"/>
      <sheetName val="Site6Day4"/>
      <sheetName val="Site6Day5"/>
      <sheetName val="Site6Day6"/>
      <sheetName val="Site6Day7"/>
      <sheetName val="Site6Day8"/>
      <sheetName val="Site6Day9"/>
      <sheetName val="Site6Day10"/>
      <sheetName val="Site7 Dashboard"/>
      <sheetName val="Site7Summary"/>
      <sheetName val="Site7Day1"/>
      <sheetName val="Site7Day2"/>
      <sheetName val="Site7Day3"/>
      <sheetName val="Site7Day4"/>
      <sheetName val="Site7Day5"/>
      <sheetName val="Site7Day6"/>
      <sheetName val="Site7Day7"/>
      <sheetName val="Site7Day8"/>
      <sheetName val="Site7Day9"/>
      <sheetName val="Site7Day10"/>
    </sheetNames>
    <sheetDataSet>
      <sheetData sheetId="0" refreshError="1"/>
      <sheetData sheetId="1" refreshError="1"/>
      <sheetData sheetId="2" refreshError="1"/>
      <sheetData sheetId="3" refreshError="1"/>
      <sheetData sheetId="4" refreshError="1"/>
      <sheetData sheetId="5" refreshError="1">
        <row r="7">
          <cell r="A7" t="str">
            <v>Outpt visit - prob focused - physician - 20 min</v>
          </cell>
          <cell r="B7">
            <v>99202</v>
          </cell>
          <cell r="C7">
            <v>0.93</v>
          </cell>
          <cell r="D7">
            <v>2.14</v>
          </cell>
          <cell r="E7">
            <v>69.357399999999998</v>
          </cell>
        </row>
        <row r="8">
          <cell r="A8" t="str">
            <v>Outpt visit - prob focused - physician - 30 min</v>
          </cell>
          <cell r="B8">
            <v>99203</v>
          </cell>
          <cell r="C8">
            <v>1.42</v>
          </cell>
          <cell r="D8">
            <v>3.03</v>
          </cell>
          <cell r="E8">
            <v>98.20229999999998</v>
          </cell>
        </row>
        <row r="9">
          <cell r="A9" t="str">
            <v>Outpt visit - prob focused - physician - 45 min</v>
          </cell>
          <cell r="B9">
            <v>99204</v>
          </cell>
          <cell r="C9">
            <v>2.4300000000000002</v>
          </cell>
          <cell r="D9">
            <v>4.63</v>
          </cell>
          <cell r="E9">
            <v>150.05829999999997</v>
          </cell>
        </row>
        <row r="10">
          <cell r="A10" t="str">
            <v>Cerumen evacuation</v>
          </cell>
          <cell r="B10">
            <v>69210</v>
          </cell>
          <cell r="C10">
            <v>0.61</v>
          </cell>
          <cell r="D10">
            <v>1.36</v>
          </cell>
          <cell r="E10">
            <v>44.077599999999997</v>
          </cell>
        </row>
        <row r="11">
          <cell r="A11" t="str">
            <v>Counseling, prev med , 15 min</v>
          </cell>
          <cell r="B11">
            <v>99401</v>
          </cell>
          <cell r="C11">
            <v>0.48</v>
          </cell>
          <cell r="D11">
            <v>1.1200000000000001</v>
          </cell>
          <cell r="E11">
            <v>36.299199999999999</v>
          </cell>
        </row>
        <row r="12">
          <cell r="A12" t="str">
            <v>Counseling, prev med, 30 min</v>
          </cell>
          <cell r="B12">
            <v>99402</v>
          </cell>
          <cell r="C12">
            <v>0.98</v>
          </cell>
          <cell r="D12">
            <v>1.85</v>
          </cell>
          <cell r="E12">
            <v>59.958499999999994</v>
          </cell>
        </row>
        <row r="13">
          <cell r="A13" t="str">
            <v>Counseling, smoking cessation, &lt; 10 min</v>
          </cell>
          <cell r="B13">
            <v>99406</v>
          </cell>
          <cell r="C13">
            <v>0.24</v>
          </cell>
          <cell r="D13">
            <v>0.43</v>
          </cell>
          <cell r="E13">
            <v>13.936299999999997</v>
          </cell>
        </row>
        <row r="14">
          <cell r="A14" t="str">
            <v>Counseling, smoking cessation, &gt; 10 min</v>
          </cell>
          <cell r="B14">
            <v>99407</v>
          </cell>
          <cell r="C14">
            <v>0.5</v>
          </cell>
          <cell r="D14">
            <v>0.82</v>
          </cell>
          <cell r="E14">
            <v>26.576199999999996</v>
          </cell>
        </row>
        <row r="15">
          <cell r="A15" t="str">
            <v>Multi-System complaint</v>
          </cell>
          <cell r="B15">
            <v>99214</v>
          </cell>
          <cell r="C15">
            <v>1.5</v>
          </cell>
          <cell r="D15">
            <v>3.06</v>
          </cell>
          <cell r="E15">
            <v>99.174599999999998</v>
          </cell>
        </row>
        <row r="16">
          <cell r="A16" t="str">
            <v>Regular office visit</v>
          </cell>
          <cell r="B16">
            <v>99213</v>
          </cell>
          <cell r="C16">
            <v>0.97</v>
          </cell>
          <cell r="D16">
            <v>2.09</v>
          </cell>
          <cell r="E16">
            <v>67.736899999999991</v>
          </cell>
        </row>
        <row r="17">
          <cell r="A17" t="str">
            <v>Wellness Visit under 1yr New PT</v>
          </cell>
          <cell r="B17">
            <v>99381</v>
          </cell>
          <cell r="C17">
            <v>1.5</v>
          </cell>
          <cell r="D17">
            <v>3.06</v>
          </cell>
          <cell r="E17">
            <v>99.174599999999998</v>
          </cell>
        </row>
        <row r="18">
          <cell r="A18" t="str">
            <v>Wellness Visit 1-4 yrs new PT</v>
          </cell>
          <cell r="B18">
            <v>99382</v>
          </cell>
          <cell r="C18">
            <v>1.6</v>
          </cell>
          <cell r="D18">
            <v>3.28</v>
          </cell>
          <cell r="E18">
            <v>106.30479999999999</v>
          </cell>
        </row>
        <row r="19">
          <cell r="A19" t="str">
            <v>Wellness Visit 5-11yrs New PT</v>
          </cell>
          <cell r="B19">
            <v>99383</v>
          </cell>
          <cell r="C19">
            <v>1.7</v>
          </cell>
          <cell r="D19">
            <v>3.42</v>
          </cell>
          <cell r="E19">
            <v>110.84219999999999</v>
          </cell>
        </row>
        <row r="20">
          <cell r="A20" t="str">
            <v>Wellness Visit 12-17yrs New PT</v>
          </cell>
          <cell r="B20">
            <v>99384</v>
          </cell>
          <cell r="C20">
            <v>2</v>
          </cell>
          <cell r="D20">
            <v>3.87</v>
          </cell>
          <cell r="E20">
            <v>125.4267</v>
          </cell>
        </row>
        <row r="21">
          <cell r="A21" t="str">
            <v>Wellness Visit 18-39yrs New PT</v>
          </cell>
          <cell r="B21">
            <v>99385</v>
          </cell>
          <cell r="C21">
            <v>1.92</v>
          </cell>
          <cell r="D21">
            <v>3.75</v>
          </cell>
          <cell r="E21">
            <v>121.53749999999999</v>
          </cell>
        </row>
        <row r="22">
          <cell r="A22" t="str">
            <v>Wellness Visit 40-64yrs New pt</v>
          </cell>
          <cell r="B22">
            <v>99386</v>
          </cell>
          <cell r="C22">
            <v>2.33</v>
          </cell>
          <cell r="D22">
            <v>4.34</v>
          </cell>
          <cell r="E22">
            <v>140.65939999999998</v>
          </cell>
        </row>
        <row r="23">
          <cell r="A23" t="str">
            <v>Wellness Visit 65+ New PT</v>
          </cell>
          <cell r="B23">
            <v>99387</v>
          </cell>
          <cell r="C23">
            <v>2.5</v>
          </cell>
          <cell r="D23">
            <v>4.72</v>
          </cell>
          <cell r="E23">
            <v>152.97519999999997</v>
          </cell>
        </row>
        <row r="24">
          <cell r="A24" t="str">
            <v>Outpatient F2F Nurse Visit - 5 min</v>
          </cell>
          <cell r="B24">
            <v>99201</v>
          </cell>
          <cell r="C24">
            <v>0.48</v>
          </cell>
          <cell r="D24">
            <v>1.29</v>
          </cell>
          <cell r="E24">
            <v>41.808899999999994</v>
          </cell>
        </row>
        <row r="25">
          <cell r="A25" t="str">
            <v>Vital Sign E/M</v>
          </cell>
          <cell r="B25">
            <v>99211</v>
          </cell>
          <cell r="C25">
            <v>0.18</v>
          </cell>
          <cell r="D25">
            <v>0.65</v>
          </cell>
          <cell r="E25">
            <v>21.066499999999998</v>
          </cell>
        </row>
        <row r="26">
          <cell r="A26" t="str">
            <v>BMI</v>
          </cell>
          <cell r="B26">
            <v>99401</v>
          </cell>
          <cell r="C26">
            <v>0.48</v>
          </cell>
          <cell r="D26">
            <v>1.1000000000000001</v>
          </cell>
          <cell r="E26">
            <v>35.650999999999996</v>
          </cell>
        </row>
        <row r="27">
          <cell r="A27" t="str">
            <v>Glucose FS</v>
          </cell>
          <cell r="B27">
            <v>82948</v>
          </cell>
          <cell r="E27">
            <v>15</v>
          </cell>
        </row>
        <row r="28">
          <cell r="E28">
            <v>0</v>
          </cell>
        </row>
        <row r="29">
          <cell r="E29">
            <v>0</v>
          </cell>
        </row>
        <row r="30">
          <cell r="E30">
            <v>0</v>
          </cell>
        </row>
        <row r="31">
          <cell r="E31">
            <v>0</v>
          </cell>
        </row>
        <row r="32">
          <cell r="E32">
            <v>0</v>
          </cell>
        </row>
        <row r="33">
          <cell r="A33" t="str">
            <v>Total Medical</v>
          </cell>
        </row>
        <row r="34">
          <cell r="A34" t="str">
            <v>Nutrition/Counseling/Teaching</v>
          </cell>
        </row>
        <row r="35">
          <cell r="A35" t="str">
            <v>Spec Initial Visit-15 min-30 mins</v>
          </cell>
          <cell r="B35">
            <v>97802</v>
          </cell>
          <cell r="C35">
            <v>0.53</v>
          </cell>
          <cell r="D35">
            <v>1.06</v>
          </cell>
          <cell r="E35">
            <v>34.354599999999998</v>
          </cell>
        </row>
        <row r="36">
          <cell r="A36" t="str">
            <v xml:space="preserve">Preventative Medicine Counseling (30min) </v>
          </cell>
          <cell r="B36">
            <v>99411</v>
          </cell>
          <cell r="C36">
            <v>0.15</v>
          </cell>
          <cell r="D36">
            <v>0.55000000000000004</v>
          </cell>
          <cell r="E36">
            <v>17.825499999999998</v>
          </cell>
        </row>
        <row r="37">
          <cell r="A37" t="str">
            <v xml:space="preserve">Preventative Medicine Counseling (60min) </v>
          </cell>
          <cell r="B37">
            <v>99412</v>
          </cell>
          <cell r="C37">
            <v>0.25</v>
          </cell>
          <cell r="D37">
            <v>0.71</v>
          </cell>
          <cell r="E37">
            <v>23.011099999999995</v>
          </cell>
        </row>
        <row r="38">
          <cell r="E38">
            <v>0</v>
          </cell>
        </row>
        <row r="39">
          <cell r="E39">
            <v>0</v>
          </cell>
        </row>
        <row r="40">
          <cell r="E40">
            <v>0</v>
          </cell>
        </row>
        <row r="41">
          <cell r="E41">
            <v>0</v>
          </cell>
        </row>
        <row r="42">
          <cell r="E42">
            <v>0</v>
          </cell>
        </row>
        <row r="43">
          <cell r="A43" t="str">
            <v>Total Nutrition/Counseling/Teaching</v>
          </cell>
        </row>
        <row r="44">
          <cell r="A44" t="str">
            <v>Eye</v>
          </cell>
        </row>
        <row r="45">
          <cell r="A45" t="str">
            <v>Eye exam, new patient - intermediate</v>
          </cell>
          <cell r="B45">
            <v>92002</v>
          </cell>
          <cell r="C45">
            <v>0.88</v>
          </cell>
          <cell r="D45">
            <v>2.37</v>
          </cell>
          <cell r="E45">
            <v>76.811700000000002</v>
          </cell>
        </row>
        <row r="46">
          <cell r="A46" t="str">
            <v>Eye exam, new patient - comprehensive</v>
          </cell>
          <cell r="B46">
            <v>92004</v>
          </cell>
          <cell r="C46">
            <v>1.82</v>
          </cell>
          <cell r="D46">
            <v>4.2300000000000004</v>
          </cell>
          <cell r="E46">
            <v>137.0943</v>
          </cell>
        </row>
        <row r="47">
          <cell r="A47" t="str">
            <v>Eye exam, est. intermediate</v>
          </cell>
          <cell r="B47">
            <v>92012</v>
          </cell>
          <cell r="C47">
            <v>0.92</v>
          </cell>
          <cell r="D47">
            <v>2.4900000000000002</v>
          </cell>
          <cell r="E47">
            <v>80.700900000000004</v>
          </cell>
        </row>
        <row r="48">
          <cell r="A48" t="str">
            <v>Determination of refractive state</v>
          </cell>
          <cell r="B48">
            <v>92015</v>
          </cell>
          <cell r="C48">
            <v>0.38</v>
          </cell>
          <cell r="D48">
            <v>0.56999999999999995</v>
          </cell>
          <cell r="E48">
            <v>18.473699999999997</v>
          </cell>
        </row>
        <row r="49">
          <cell r="A49" t="str">
            <v>Visual field exam</v>
          </cell>
          <cell r="B49">
            <v>92081</v>
          </cell>
          <cell r="C49">
            <v>0.3</v>
          </cell>
          <cell r="D49">
            <v>0.95</v>
          </cell>
          <cell r="E49">
            <v>30.789499999999997</v>
          </cell>
        </row>
        <row r="50">
          <cell r="A50" t="str">
            <v>Fitting of spectacles, except for aphakis; monofocal</v>
          </cell>
          <cell r="B50">
            <v>92340</v>
          </cell>
          <cell r="C50">
            <v>0.37</v>
          </cell>
          <cell r="D50">
            <v>0.99</v>
          </cell>
          <cell r="E50">
            <v>32.085899999999995</v>
          </cell>
        </row>
        <row r="51">
          <cell r="A51" t="str">
            <v>Fitting of spectacles, except for aphakis; bifocal</v>
          </cell>
          <cell r="B51">
            <v>92341</v>
          </cell>
          <cell r="C51">
            <v>0.47</v>
          </cell>
          <cell r="D51">
            <v>1.1499999999999999</v>
          </cell>
          <cell r="E51">
            <v>37.271499999999996</v>
          </cell>
        </row>
        <row r="52">
          <cell r="E52">
            <v>0</v>
          </cell>
        </row>
        <row r="53">
          <cell r="E53">
            <v>0</v>
          </cell>
        </row>
        <row r="54">
          <cell r="E54">
            <v>0</v>
          </cell>
        </row>
        <row r="55">
          <cell r="E55">
            <v>0</v>
          </cell>
        </row>
        <row r="56">
          <cell r="E56">
            <v>0</v>
          </cell>
        </row>
        <row r="57">
          <cell r="A57" t="str">
            <v>Total Eye</v>
          </cell>
        </row>
        <row r="58">
          <cell r="A58" t="str">
            <v>Dental</v>
          </cell>
        </row>
        <row r="59">
          <cell r="A59" t="str">
            <v>Limited oral evaluation</v>
          </cell>
          <cell r="B59" t="str">
            <v>D0140</v>
          </cell>
          <cell r="C59">
            <v>0.75</v>
          </cell>
          <cell r="D59">
            <v>0.24307499999999999</v>
          </cell>
          <cell r="E59">
            <v>7.8780607499999986</v>
          </cell>
        </row>
        <row r="60">
          <cell r="A60" t="str">
            <v>Comprehensive oral evaluation</v>
          </cell>
          <cell r="B60" t="str">
            <v>D0150</v>
          </cell>
          <cell r="C60">
            <v>0.84</v>
          </cell>
          <cell r="D60">
            <v>0.27224399999999993</v>
          </cell>
          <cell r="E60">
            <v>8.823428039999996</v>
          </cell>
        </row>
        <row r="61">
          <cell r="A61" t="str">
            <v>Detailed/extensive oral evaluation(oral cancer screening)</v>
          </cell>
          <cell r="B61" t="str">
            <v>D0160</v>
          </cell>
          <cell r="C61">
            <v>1.38</v>
          </cell>
          <cell r="D61">
            <v>0.44725799999999993</v>
          </cell>
          <cell r="E61">
            <v>14.495631779999997</v>
          </cell>
        </row>
        <row r="62">
          <cell r="A62" t="str">
            <v>Extraction, coronal rem - deciduous tooth</v>
          </cell>
          <cell r="B62" t="str">
            <v>D7111</v>
          </cell>
          <cell r="C62">
            <v>1.17</v>
          </cell>
          <cell r="D62">
            <v>0.3791969999999999</v>
          </cell>
          <cell r="E62">
            <v>12.289774769999996</v>
          </cell>
        </row>
        <row r="63">
          <cell r="A63" t="str">
            <v>Extraction, single tooth</v>
          </cell>
          <cell r="B63" t="str">
            <v>D7140</v>
          </cell>
          <cell r="C63">
            <v>1.63</v>
          </cell>
          <cell r="D63">
            <v>0.52828299999999995</v>
          </cell>
          <cell r="E63">
            <v>17.121652029999996</v>
          </cell>
        </row>
        <row r="64">
          <cell r="A64" t="str">
            <v>Surgical removal of erupted tooth</v>
          </cell>
          <cell r="B64" t="str">
            <v>D7210</v>
          </cell>
          <cell r="C64">
            <v>2.76</v>
          </cell>
          <cell r="D64">
            <v>0.89451599999999987</v>
          </cell>
          <cell r="E64">
            <v>28.991263559999993</v>
          </cell>
        </row>
        <row r="65">
          <cell r="A65" t="str">
            <v>Ext impacted tooth soft tissue</v>
          </cell>
          <cell r="B65" t="str">
            <v>D7220</v>
          </cell>
          <cell r="C65">
            <v>3.26</v>
          </cell>
          <cell r="D65">
            <v>1.0565659999999999</v>
          </cell>
          <cell r="E65">
            <v>34.243304059999993</v>
          </cell>
        </row>
        <row r="66">
          <cell r="A66" t="str">
            <v>Ext impacted tooth partial bony</v>
          </cell>
          <cell r="B66" t="str">
            <v>D7230</v>
          </cell>
          <cell r="C66">
            <v>4.09</v>
          </cell>
          <cell r="D66">
            <v>1.3255689999999998</v>
          </cell>
          <cell r="E66">
            <v>42.96169128999999</v>
          </cell>
        </row>
        <row r="67">
          <cell r="A67" t="str">
            <v>Ext impacted tooth comp bony</v>
          </cell>
          <cell r="B67" t="str">
            <v>D7240</v>
          </cell>
          <cell r="C67">
            <v>4.84</v>
          </cell>
          <cell r="D67">
            <v>1.5686439999999999</v>
          </cell>
          <cell r="E67">
            <v>50.839752039999993</v>
          </cell>
        </row>
        <row r="68">
          <cell r="A68" t="str">
            <v>Surgical removal of residual roots</v>
          </cell>
          <cell r="B68" t="str">
            <v>D7250</v>
          </cell>
          <cell r="C68">
            <v>2.9</v>
          </cell>
          <cell r="D68">
            <v>0.93988999999999989</v>
          </cell>
          <cell r="E68">
            <v>30.461834899999992</v>
          </cell>
        </row>
        <row r="69">
          <cell r="A69" t="str">
            <v>Alveoloplasty in conjunction with extractions-four or more teeth</v>
          </cell>
          <cell r="B69" t="str">
            <v>D7310</v>
          </cell>
          <cell r="C69">
            <v>2.7</v>
          </cell>
          <cell r="D69">
            <v>0.8750699999999999</v>
          </cell>
          <cell r="E69">
            <v>28.361018699999995</v>
          </cell>
        </row>
        <row r="70">
          <cell r="A70" t="str">
            <v>Alveoloplasty in conjunction with extractions-one to three teeth</v>
          </cell>
          <cell r="B70" t="str">
            <v>D7311</v>
          </cell>
          <cell r="C70">
            <v>2.3199999999999998</v>
          </cell>
          <cell r="D70">
            <v>0.7519119999999998</v>
          </cell>
          <cell r="E70">
            <v>24.369467919999991</v>
          </cell>
        </row>
        <row r="71">
          <cell r="A71" t="str">
            <v>Cleaning of teeth</v>
          </cell>
          <cell r="B71" t="str">
            <v>D1110</v>
          </cell>
          <cell r="C71">
            <v>0.89</v>
          </cell>
          <cell r="D71">
            <v>0.28844900000000001</v>
          </cell>
          <cell r="E71">
            <v>9.3486320899999988</v>
          </cell>
        </row>
        <row r="72">
          <cell r="A72" t="str">
            <v>Amalgam Filling-1 surface</v>
          </cell>
        </row>
        <row r="73">
          <cell r="A73" t="str">
            <v>Amalgam Filling-2 surface</v>
          </cell>
          <cell r="B73" t="str">
            <v>D2150</v>
          </cell>
          <cell r="C73">
            <v>1.6</v>
          </cell>
          <cell r="D73">
            <v>0.51855999999999991</v>
          </cell>
          <cell r="E73">
            <v>16.806529599999994</v>
          </cell>
        </row>
        <row r="74">
          <cell r="A74" t="str">
            <v>Amalgam Filling-3 surface</v>
          </cell>
          <cell r="B74" t="str">
            <v>D2160</v>
          </cell>
          <cell r="C74">
            <v>1.95</v>
          </cell>
          <cell r="D74">
            <v>0.63199499999999997</v>
          </cell>
          <cell r="E74">
            <v>20.482957949999996</v>
          </cell>
        </row>
        <row r="75">
          <cell r="A75" t="str">
            <v>Amalgam Filling-4 surface</v>
          </cell>
          <cell r="B75" t="str">
            <v>D2161</v>
          </cell>
          <cell r="C75">
            <v>2.29</v>
          </cell>
          <cell r="D75">
            <v>0.74218899999999988</v>
          </cell>
          <cell r="E75">
            <v>24.054345489999992</v>
          </cell>
        </row>
        <row r="76">
          <cell r="A76" t="str">
            <v>Composite Filling Anterior-1 surface</v>
          </cell>
          <cell r="B76" t="str">
            <v>D2330</v>
          </cell>
          <cell r="C76">
            <v>1.55</v>
          </cell>
          <cell r="D76">
            <v>0.502355</v>
          </cell>
          <cell r="E76">
            <v>16.281325549999998</v>
          </cell>
        </row>
        <row r="77">
          <cell r="A77" t="str">
            <v>Composite Filling Anterior-2 surface</v>
          </cell>
          <cell r="B77" t="str">
            <v>D2331</v>
          </cell>
          <cell r="C77">
            <v>1.94</v>
          </cell>
          <cell r="D77">
            <v>0.62875399999999992</v>
          </cell>
          <cell r="E77">
            <v>20.377917139999994</v>
          </cell>
        </row>
        <row r="78">
          <cell r="A78" t="str">
            <v>Composite Filling Anterior-3 surface</v>
          </cell>
          <cell r="B78" t="str">
            <v>D2332</v>
          </cell>
          <cell r="C78">
            <v>2.31</v>
          </cell>
          <cell r="D78">
            <v>0.74867099999999998</v>
          </cell>
          <cell r="E78">
            <v>24.264427109999996</v>
          </cell>
        </row>
        <row r="79">
          <cell r="A79" t="str">
            <v>Composite Filling Anterior-4 surface</v>
          </cell>
          <cell r="B79" t="str">
            <v>D2335</v>
          </cell>
          <cell r="C79">
            <v>2.81</v>
          </cell>
          <cell r="D79">
            <v>0.91072099999999989</v>
          </cell>
          <cell r="E79">
            <v>29.516467609999992</v>
          </cell>
        </row>
        <row r="80">
          <cell r="A80" t="str">
            <v>Composite Filling Posterior-1 surface</v>
          </cell>
          <cell r="B80" t="str">
            <v>D2391</v>
          </cell>
          <cell r="C80">
            <v>1.71</v>
          </cell>
          <cell r="D80">
            <v>0.55421100000000001</v>
          </cell>
          <cell r="E80">
            <v>17.961978509999998</v>
          </cell>
        </row>
        <row r="81">
          <cell r="A81" t="str">
            <v>Composite Filling Posterior-2 surface</v>
          </cell>
          <cell r="B81" t="str">
            <v>D2392</v>
          </cell>
          <cell r="C81">
            <v>2.19</v>
          </cell>
          <cell r="D81">
            <v>0.70977899999999994</v>
          </cell>
          <cell r="E81">
            <v>23.003937389999997</v>
          </cell>
        </row>
        <row r="82">
          <cell r="A82" t="str">
            <v>Composite Filling Posterior-3 surface</v>
          </cell>
          <cell r="B82" t="str">
            <v>D2393</v>
          </cell>
          <cell r="C82">
            <v>2.64</v>
          </cell>
          <cell r="D82">
            <v>0.85562399999999994</v>
          </cell>
          <cell r="E82">
            <v>27.730773839999994</v>
          </cell>
        </row>
        <row r="83">
          <cell r="A83" t="str">
            <v>Composite Filling Posterior-4 surface</v>
          </cell>
          <cell r="B83" t="str">
            <v>D2394</v>
          </cell>
          <cell r="C83">
            <v>3.09</v>
          </cell>
          <cell r="D83">
            <v>1.0014689999999999</v>
          </cell>
          <cell r="E83">
            <v>32.457610289999998</v>
          </cell>
        </row>
        <row r="84">
          <cell r="A84" t="str">
            <v>Sedative Filling</v>
          </cell>
          <cell r="B84" t="str">
            <v>D2940</v>
          </cell>
          <cell r="C84">
            <v>1.0900000000000001</v>
          </cell>
          <cell r="D84">
            <v>0.353269</v>
          </cell>
          <cell r="E84">
            <v>11.449448289999999</v>
          </cell>
        </row>
        <row r="85">
          <cell r="A85" t="str">
            <v>Prefabricated stainless steel crown-primary tooth</v>
          </cell>
          <cell r="B85" t="str">
            <v>D2930</v>
          </cell>
          <cell r="C85">
            <v>2.75</v>
          </cell>
          <cell r="D85">
            <v>0.89127499999999993</v>
          </cell>
          <cell r="E85">
            <v>28.886222749999995</v>
          </cell>
        </row>
        <row r="86">
          <cell r="A86" t="str">
            <v>Prefabricated stainless steel crown-permanent tooth</v>
          </cell>
          <cell r="B86" t="str">
            <v>D2931</v>
          </cell>
          <cell r="C86">
            <v>3.13</v>
          </cell>
          <cell r="D86">
            <v>1.0144329999999997</v>
          </cell>
          <cell r="E86">
            <v>32.877773529999985</v>
          </cell>
        </row>
        <row r="87">
          <cell r="A87" t="str">
            <v>Consultation</v>
          </cell>
          <cell r="B87" t="str">
            <v>D9310</v>
          </cell>
          <cell r="C87">
            <v>1.02</v>
          </cell>
          <cell r="D87">
            <v>0.33058199999999999</v>
          </cell>
          <cell r="E87">
            <v>10.714162619999998</v>
          </cell>
        </row>
        <row r="88">
          <cell r="A88" t="str">
            <v>Nutritional counseling</v>
          </cell>
          <cell r="B88" t="str">
            <v>D1310</v>
          </cell>
          <cell r="C88">
            <v>0.43</v>
          </cell>
          <cell r="D88">
            <v>0.13936299999999999</v>
          </cell>
          <cell r="E88">
            <v>4.5167548299999991</v>
          </cell>
        </row>
        <row r="89">
          <cell r="A89" t="str">
            <v>Tobacco counseling</v>
          </cell>
          <cell r="B89" t="str">
            <v>D1320</v>
          </cell>
          <cell r="C89">
            <v>0.47</v>
          </cell>
          <cell r="D89">
            <v>0.15232699999999999</v>
          </cell>
          <cell r="E89">
            <v>4.936918069999999</v>
          </cell>
        </row>
        <row r="90">
          <cell r="A90" t="str">
            <v>Radiograph-bitwing X 1</v>
          </cell>
          <cell r="B90" t="str">
            <v>D0220</v>
          </cell>
          <cell r="C90">
            <v>0.28999999999999998</v>
          </cell>
          <cell r="D90">
            <v>9.3988999999999975E-2</v>
          </cell>
          <cell r="E90">
            <v>3.0461834899999989</v>
          </cell>
        </row>
        <row r="91">
          <cell r="A91" t="str">
            <v>Radiograph-bitwing X 2</v>
          </cell>
          <cell r="B91" t="str">
            <v>D0272</v>
          </cell>
          <cell r="C91">
            <v>0.45</v>
          </cell>
          <cell r="D91">
            <v>0.14584499999999997</v>
          </cell>
          <cell r="E91">
            <v>4.7268364499999986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health.mil/Military-Health-Topics/Access-Cost-Quality-and-Safety/Uniform-Business-Office/UBO-Rates-Overview/MHS-UBO-Rates"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health.mil/Military-Health-Topics/Access-Cost-Quality-and-Safety/Uniform-Business-Office/UBO-Rates-Overview/MHS-UBO-Rates"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63E8A-07B8-4D75-A63D-EC204167670E}">
  <sheetPr codeName="Sheet1"/>
  <dimension ref="B2:B32"/>
  <sheetViews>
    <sheetView tabSelected="1" topLeftCell="A22" workbookViewId="0">
      <selection activeCell="B26" sqref="B26"/>
    </sheetView>
  </sheetViews>
  <sheetFormatPr defaultColWidth="8.85546875" defaultRowHeight="15" x14ac:dyDescent="0.25"/>
  <cols>
    <col min="2" max="2" width="82.42578125" style="134" customWidth="1"/>
  </cols>
  <sheetData>
    <row r="2" spans="2:2" x14ac:dyDescent="0.25">
      <c r="B2" s="134" t="s">
        <v>164</v>
      </c>
    </row>
    <row r="4" spans="2:2" ht="60" x14ac:dyDescent="0.25">
      <c r="B4" s="134" t="s">
        <v>175</v>
      </c>
    </row>
    <row r="6" spans="2:2" ht="75" x14ac:dyDescent="0.25">
      <c r="B6" s="134" t="s">
        <v>165</v>
      </c>
    </row>
    <row r="8" spans="2:2" ht="30" x14ac:dyDescent="0.25">
      <c r="B8" s="135" t="s">
        <v>167</v>
      </c>
    </row>
    <row r="10" spans="2:2" ht="45" x14ac:dyDescent="0.25">
      <c r="B10" s="134" t="s">
        <v>166</v>
      </c>
    </row>
    <row r="12" spans="2:2" ht="75" x14ac:dyDescent="0.25">
      <c r="B12" s="134" t="s">
        <v>168</v>
      </c>
    </row>
    <row r="14" spans="2:2" ht="30" x14ac:dyDescent="0.25">
      <c r="B14" s="134" t="s">
        <v>170</v>
      </c>
    </row>
    <row r="16" spans="2:2" ht="90" x14ac:dyDescent="0.25">
      <c r="B16" s="134" t="s">
        <v>174</v>
      </c>
    </row>
    <row r="18" spans="2:2" ht="75" x14ac:dyDescent="0.25">
      <c r="B18" s="134" t="s">
        <v>171</v>
      </c>
    </row>
    <row r="20" spans="2:2" ht="60" x14ac:dyDescent="0.25">
      <c r="B20" s="134" t="s">
        <v>172</v>
      </c>
    </row>
    <row r="22" spans="2:2" ht="30" x14ac:dyDescent="0.25">
      <c r="B22" s="135" t="s">
        <v>169</v>
      </c>
    </row>
    <row r="24" spans="2:2" ht="105" x14ac:dyDescent="0.25">
      <c r="B24" s="134" t="s">
        <v>173</v>
      </c>
    </row>
    <row r="26" spans="2:2" x14ac:dyDescent="0.25">
      <c r="B26" s="134" t="s">
        <v>176</v>
      </c>
    </row>
    <row r="28" spans="2:2" ht="165" x14ac:dyDescent="0.25">
      <c r="B28" s="134" t="s">
        <v>341</v>
      </c>
    </row>
    <row r="29" spans="2:2" x14ac:dyDescent="0.25">
      <c r="B29" s="134" t="s">
        <v>342</v>
      </c>
    </row>
    <row r="30" spans="2:2" ht="75" x14ac:dyDescent="0.25">
      <c r="B30" s="134" t="s">
        <v>343</v>
      </c>
    </row>
    <row r="31" spans="2:2" ht="30" x14ac:dyDescent="0.25">
      <c r="B31" s="208" t="s">
        <v>344</v>
      </c>
    </row>
    <row r="32" spans="2:2" ht="90" x14ac:dyDescent="0.25">
      <c r="B32" s="134" t="s">
        <v>345</v>
      </c>
    </row>
  </sheetData>
  <hyperlinks>
    <hyperlink ref="B31" r:id="rId1" xr:uid="{11D774F5-6067-4F8B-9421-3F297487BE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C274E-907E-452A-B796-9EEF46D5C90D}">
  <sheetPr codeName="Sheet2"/>
  <dimension ref="A1:D84"/>
  <sheetViews>
    <sheetView workbookViewId="0">
      <selection activeCell="B1" sqref="B1"/>
    </sheetView>
  </sheetViews>
  <sheetFormatPr defaultRowHeight="15" x14ac:dyDescent="0.25"/>
  <cols>
    <col min="1" max="1" width="54.85546875" customWidth="1"/>
    <col min="2" max="2" width="6.85546875" bestFit="1" customWidth="1"/>
    <col min="3" max="3" width="11.85546875" bestFit="1" customWidth="1"/>
    <col min="4" max="4" width="8.7109375" bestFit="1" customWidth="1"/>
  </cols>
  <sheetData>
    <row r="1" spans="1:4" x14ac:dyDescent="0.25">
      <c r="A1" s="6" t="s">
        <v>269</v>
      </c>
      <c r="B1" s="6" t="s">
        <v>125</v>
      </c>
      <c r="C1" s="6" t="s">
        <v>267</v>
      </c>
      <c r="D1" s="6" t="s">
        <v>268</v>
      </c>
    </row>
    <row r="2" spans="1:4" x14ac:dyDescent="0.25">
      <c r="A2" t="s">
        <v>285</v>
      </c>
      <c r="B2" t="s">
        <v>200</v>
      </c>
      <c r="C2">
        <v>0.62</v>
      </c>
      <c r="D2">
        <v>71.739999999999995</v>
      </c>
    </row>
    <row r="3" spans="1:4" x14ac:dyDescent="0.25">
      <c r="A3" t="s">
        <v>286</v>
      </c>
      <c r="B3" t="s">
        <v>0</v>
      </c>
      <c r="C3">
        <v>0.93</v>
      </c>
      <c r="D3">
        <v>107.61</v>
      </c>
    </row>
    <row r="4" spans="1:4" x14ac:dyDescent="0.25">
      <c r="A4" s="205" t="s">
        <v>262</v>
      </c>
      <c r="B4" s="205" t="s">
        <v>261</v>
      </c>
      <c r="C4" s="205">
        <v>0.91</v>
      </c>
      <c r="D4" s="205">
        <v>105.3</v>
      </c>
    </row>
    <row r="5" spans="1:4" x14ac:dyDescent="0.25">
      <c r="A5" t="s">
        <v>287</v>
      </c>
      <c r="B5" t="s">
        <v>1</v>
      </c>
      <c r="C5">
        <v>1.05</v>
      </c>
      <c r="D5">
        <v>121.5</v>
      </c>
    </row>
    <row r="6" spans="1:4" x14ac:dyDescent="0.25">
      <c r="A6" t="s">
        <v>288</v>
      </c>
      <c r="B6" t="s">
        <v>2</v>
      </c>
      <c r="C6">
        <v>1.58</v>
      </c>
      <c r="D6">
        <v>182.82</v>
      </c>
    </row>
    <row r="7" spans="1:4" x14ac:dyDescent="0.25">
      <c r="A7" s="205" t="s">
        <v>263</v>
      </c>
      <c r="B7" s="205" t="s">
        <v>260</v>
      </c>
      <c r="C7" s="205">
        <v>0.75</v>
      </c>
      <c r="D7" s="205">
        <v>86.78</v>
      </c>
    </row>
    <row r="8" spans="1:4" x14ac:dyDescent="0.25">
      <c r="A8" t="s">
        <v>289</v>
      </c>
      <c r="B8" t="s">
        <v>201</v>
      </c>
      <c r="C8">
        <v>0.5</v>
      </c>
      <c r="D8">
        <v>57.86</v>
      </c>
    </row>
    <row r="9" spans="1:4" x14ac:dyDescent="0.25">
      <c r="A9" t="s">
        <v>290</v>
      </c>
      <c r="B9" t="s">
        <v>202</v>
      </c>
      <c r="C9">
        <v>1.64</v>
      </c>
      <c r="D9">
        <v>189.77</v>
      </c>
    </row>
    <row r="10" spans="1:4" x14ac:dyDescent="0.25">
      <c r="A10" t="s">
        <v>291</v>
      </c>
      <c r="B10" t="s">
        <v>31</v>
      </c>
      <c r="C10">
        <v>0.36</v>
      </c>
      <c r="D10">
        <v>41.66</v>
      </c>
    </row>
    <row r="11" spans="1:4" x14ac:dyDescent="0.25">
      <c r="A11" t="s">
        <v>292</v>
      </c>
      <c r="B11" t="s">
        <v>42</v>
      </c>
      <c r="C11">
        <v>0.3</v>
      </c>
      <c r="D11">
        <v>34.71</v>
      </c>
    </row>
    <row r="12" spans="1:4" x14ac:dyDescent="0.25">
      <c r="A12" t="s">
        <v>293</v>
      </c>
      <c r="B12" t="s">
        <v>203</v>
      </c>
      <c r="C12">
        <v>0.44</v>
      </c>
      <c r="D12">
        <v>50.91</v>
      </c>
    </row>
    <row r="13" spans="1:4" x14ac:dyDescent="0.25">
      <c r="A13" t="s">
        <v>294</v>
      </c>
      <c r="B13" t="s">
        <v>204</v>
      </c>
      <c r="C13">
        <v>0.37</v>
      </c>
      <c r="D13">
        <v>42.81</v>
      </c>
    </row>
    <row r="14" spans="1:4" x14ac:dyDescent="0.25">
      <c r="A14" t="s">
        <v>295</v>
      </c>
      <c r="B14" t="s">
        <v>32</v>
      </c>
      <c r="C14">
        <v>0.55000000000000004</v>
      </c>
      <c r="D14">
        <v>63.64</v>
      </c>
    </row>
    <row r="15" spans="1:4" x14ac:dyDescent="0.25">
      <c r="A15" s="205" t="s">
        <v>264</v>
      </c>
      <c r="B15" s="205" t="s">
        <v>259</v>
      </c>
      <c r="C15" s="205">
        <v>0.63</v>
      </c>
      <c r="D15" s="205">
        <v>72.900000000000006</v>
      </c>
    </row>
    <row r="16" spans="1:4" x14ac:dyDescent="0.25">
      <c r="A16" t="s">
        <v>296</v>
      </c>
      <c r="B16" t="s">
        <v>33</v>
      </c>
      <c r="C16">
        <v>0.76</v>
      </c>
      <c r="D16">
        <v>87.94</v>
      </c>
    </row>
    <row r="17" spans="1:4" x14ac:dyDescent="0.25">
      <c r="A17" t="s">
        <v>297</v>
      </c>
      <c r="B17" t="s">
        <v>205</v>
      </c>
      <c r="C17">
        <v>1.37</v>
      </c>
      <c r="D17">
        <v>158.52000000000001</v>
      </c>
    </row>
    <row r="18" spans="1:4" x14ac:dyDescent="0.25">
      <c r="A18" t="s">
        <v>298</v>
      </c>
      <c r="B18" t="s">
        <v>206</v>
      </c>
      <c r="C18">
        <v>0</v>
      </c>
      <c r="D18">
        <v>0</v>
      </c>
    </row>
    <row r="19" spans="1:4" x14ac:dyDescent="0.25">
      <c r="A19" t="s">
        <v>299</v>
      </c>
      <c r="B19" t="s">
        <v>12</v>
      </c>
      <c r="C19">
        <v>1.08</v>
      </c>
      <c r="D19">
        <v>124.97</v>
      </c>
    </row>
    <row r="20" spans="1:4" x14ac:dyDescent="0.25">
      <c r="A20" t="s">
        <v>300</v>
      </c>
      <c r="B20" t="s">
        <v>38</v>
      </c>
      <c r="C20">
        <v>0.84</v>
      </c>
      <c r="D20">
        <v>97.2</v>
      </c>
    </row>
    <row r="21" spans="1:4" x14ac:dyDescent="0.25">
      <c r="A21" t="s">
        <v>301</v>
      </c>
      <c r="B21" t="s">
        <v>207</v>
      </c>
      <c r="C21">
        <v>0.5</v>
      </c>
      <c r="D21">
        <v>57.86</v>
      </c>
    </row>
    <row r="22" spans="1:4" x14ac:dyDescent="0.25">
      <c r="A22" t="s">
        <v>302</v>
      </c>
      <c r="B22" t="s">
        <v>29</v>
      </c>
      <c r="C22">
        <v>0.59</v>
      </c>
      <c r="D22">
        <v>68.27</v>
      </c>
    </row>
    <row r="23" spans="1:4" x14ac:dyDescent="0.25">
      <c r="A23" t="s">
        <v>303</v>
      </c>
      <c r="B23" t="s">
        <v>30</v>
      </c>
      <c r="C23">
        <v>0.56999999999999995</v>
      </c>
      <c r="D23">
        <v>65.959999999999994</v>
      </c>
    </row>
    <row r="24" spans="1:4" x14ac:dyDescent="0.25">
      <c r="A24" s="205" t="s">
        <v>265</v>
      </c>
      <c r="B24" s="205" t="s">
        <v>258</v>
      </c>
      <c r="C24" s="205">
        <v>0.57999999999999996</v>
      </c>
      <c r="D24" s="205">
        <v>67.11</v>
      </c>
    </row>
    <row r="25" spans="1:4" x14ac:dyDescent="0.25">
      <c r="A25" t="s">
        <v>266</v>
      </c>
      <c r="B25" t="s">
        <v>223</v>
      </c>
      <c r="C25">
        <v>0.7</v>
      </c>
      <c r="D25">
        <v>81</v>
      </c>
    </row>
    <row r="26" spans="1:4" x14ac:dyDescent="0.25">
      <c r="A26" s="205" t="s">
        <v>266</v>
      </c>
      <c r="B26" s="205" t="s">
        <v>257</v>
      </c>
      <c r="C26" s="205">
        <v>0.67</v>
      </c>
      <c r="D26" s="205">
        <v>77.53</v>
      </c>
    </row>
    <row r="27" spans="1:4" x14ac:dyDescent="0.25">
      <c r="A27" s="205" t="s">
        <v>266</v>
      </c>
      <c r="B27" s="205" t="s">
        <v>256</v>
      </c>
      <c r="C27" s="205">
        <v>1.0900000000000001</v>
      </c>
      <c r="D27" s="205">
        <v>126.12</v>
      </c>
    </row>
    <row r="28" spans="1:4" x14ac:dyDescent="0.25">
      <c r="A28" t="s">
        <v>304</v>
      </c>
      <c r="B28" t="s">
        <v>208</v>
      </c>
      <c r="C28">
        <v>0.52</v>
      </c>
      <c r="D28">
        <v>60.17</v>
      </c>
    </row>
    <row r="29" spans="1:4" x14ac:dyDescent="0.25">
      <c r="A29" t="s">
        <v>305</v>
      </c>
      <c r="B29" t="s">
        <v>13</v>
      </c>
      <c r="C29">
        <v>1.61</v>
      </c>
      <c r="D29">
        <v>186.29</v>
      </c>
    </row>
    <row r="30" spans="1:4" x14ac:dyDescent="0.25">
      <c r="A30" t="s">
        <v>306</v>
      </c>
      <c r="B30" t="s">
        <v>14</v>
      </c>
      <c r="C30">
        <v>1.95</v>
      </c>
      <c r="D30">
        <v>225.64</v>
      </c>
    </row>
    <row r="31" spans="1:4" x14ac:dyDescent="0.25">
      <c r="A31" t="s">
        <v>307</v>
      </c>
      <c r="B31" t="s">
        <v>15</v>
      </c>
      <c r="C31">
        <v>2.29</v>
      </c>
      <c r="D31">
        <v>264.98</v>
      </c>
    </row>
    <row r="32" spans="1:4" x14ac:dyDescent="0.25">
      <c r="A32" t="s">
        <v>308</v>
      </c>
      <c r="B32" t="s">
        <v>16</v>
      </c>
      <c r="C32">
        <v>2.5499999999999998</v>
      </c>
      <c r="D32">
        <v>295.06</v>
      </c>
    </row>
    <row r="33" spans="1:4" x14ac:dyDescent="0.25">
      <c r="A33" t="s">
        <v>309</v>
      </c>
      <c r="B33" t="s">
        <v>17</v>
      </c>
      <c r="C33">
        <v>1.92</v>
      </c>
      <c r="D33">
        <v>222.16</v>
      </c>
    </row>
    <row r="34" spans="1:4" x14ac:dyDescent="0.25">
      <c r="A34" t="s">
        <v>310</v>
      </c>
      <c r="B34" t="s">
        <v>18</v>
      </c>
      <c r="C34">
        <v>2.33</v>
      </c>
      <c r="D34">
        <v>269.61</v>
      </c>
    </row>
    <row r="35" spans="1:4" x14ac:dyDescent="0.25">
      <c r="A35" t="s">
        <v>311</v>
      </c>
      <c r="B35" t="s">
        <v>19</v>
      </c>
      <c r="C35">
        <v>2.82</v>
      </c>
      <c r="D35">
        <v>326.3</v>
      </c>
    </row>
    <row r="36" spans="1:4" x14ac:dyDescent="0.25">
      <c r="A36" t="s">
        <v>312</v>
      </c>
      <c r="B36" t="s">
        <v>20</v>
      </c>
      <c r="C36">
        <v>3.48</v>
      </c>
      <c r="D36">
        <v>402.67</v>
      </c>
    </row>
    <row r="37" spans="1:4" x14ac:dyDescent="0.25">
      <c r="A37" t="s">
        <v>313</v>
      </c>
      <c r="B37" t="s">
        <v>21</v>
      </c>
      <c r="C37">
        <v>2.11</v>
      </c>
      <c r="D37">
        <v>244.15</v>
      </c>
    </row>
    <row r="38" spans="1:4" x14ac:dyDescent="0.25">
      <c r="A38" t="s">
        <v>314</v>
      </c>
      <c r="B38" t="s">
        <v>22</v>
      </c>
      <c r="C38">
        <v>2.68</v>
      </c>
      <c r="D38">
        <v>310.11</v>
      </c>
    </row>
    <row r="39" spans="1:4" x14ac:dyDescent="0.25">
      <c r="A39" t="s">
        <v>315</v>
      </c>
      <c r="B39" t="s">
        <v>23</v>
      </c>
      <c r="C39">
        <v>3.23</v>
      </c>
      <c r="D39">
        <v>373.75</v>
      </c>
    </row>
    <row r="40" spans="1:4" x14ac:dyDescent="0.25">
      <c r="A40" t="s">
        <v>316</v>
      </c>
      <c r="B40" t="s">
        <v>24</v>
      </c>
      <c r="C40">
        <v>3.77</v>
      </c>
      <c r="D40">
        <v>436.23</v>
      </c>
    </row>
    <row r="41" spans="1:4" x14ac:dyDescent="0.25">
      <c r="A41" s="205" t="s">
        <v>270</v>
      </c>
      <c r="B41" s="205" t="s">
        <v>255</v>
      </c>
      <c r="C41" s="205">
        <v>1.28</v>
      </c>
      <c r="D41" s="205">
        <v>148.11000000000001</v>
      </c>
    </row>
    <row r="42" spans="1:4" x14ac:dyDescent="0.25">
      <c r="A42" t="s">
        <v>317</v>
      </c>
      <c r="B42" t="s">
        <v>26</v>
      </c>
      <c r="C42">
        <v>3.27</v>
      </c>
      <c r="D42">
        <v>378.37</v>
      </c>
    </row>
    <row r="43" spans="1:4" x14ac:dyDescent="0.25">
      <c r="A43" t="s">
        <v>318</v>
      </c>
      <c r="B43" t="s">
        <v>27</v>
      </c>
      <c r="C43">
        <v>3.8</v>
      </c>
      <c r="D43">
        <v>439.7</v>
      </c>
    </row>
    <row r="44" spans="1:4" x14ac:dyDescent="0.25">
      <c r="A44" s="205" t="s">
        <v>271</v>
      </c>
      <c r="B44" s="205" t="s">
        <v>254</v>
      </c>
      <c r="C44" s="205">
        <v>4.1900000000000004</v>
      </c>
      <c r="D44" s="205">
        <v>484.83</v>
      </c>
    </row>
    <row r="45" spans="1:4" x14ac:dyDescent="0.25">
      <c r="A45" t="s">
        <v>319</v>
      </c>
      <c r="B45" t="s">
        <v>25</v>
      </c>
      <c r="C45">
        <v>1.31</v>
      </c>
      <c r="D45">
        <v>151.58000000000001</v>
      </c>
    </row>
    <row r="46" spans="1:4" x14ac:dyDescent="0.25">
      <c r="A46" t="s">
        <v>320</v>
      </c>
      <c r="B46" t="s">
        <v>209</v>
      </c>
      <c r="C46">
        <v>1.22</v>
      </c>
      <c r="D46">
        <v>141.16999999999999</v>
      </c>
    </row>
    <row r="47" spans="1:4" x14ac:dyDescent="0.25">
      <c r="A47" s="205" t="s">
        <v>272</v>
      </c>
      <c r="B47" s="205" t="s">
        <v>253</v>
      </c>
      <c r="C47" s="205">
        <v>3.19</v>
      </c>
      <c r="D47" s="205">
        <v>369.12</v>
      </c>
    </row>
    <row r="48" spans="1:4" x14ac:dyDescent="0.25">
      <c r="A48" t="s">
        <v>321</v>
      </c>
      <c r="B48" t="s">
        <v>210</v>
      </c>
      <c r="C48">
        <v>1.06</v>
      </c>
      <c r="D48">
        <v>122.65</v>
      </c>
    </row>
    <row r="49" spans="1:4" x14ac:dyDescent="0.25">
      <c r="A49" t="s">
        <v>322</v>
      </c>
      <c r="B49" t="s">
        <v>211</v>
      </c>
      <c r="C49">
        <v>0.9</v>
      </c>
      <c r="D49">
        <v>104.14</v>
      </c>
    </row>
    <row r="50" spans="1:4" x14ac:dyDescent="0.25">
      <c r="A50" s="205" t="s">
        <v>273</v>
      </c>
      <c r="B50" s="205" t="s">
        <v>252</v>
      </c>
      <c r="C50" s="205">
        <v>2.41</v>
      </c>
      <c r="D50" s="205">
        <v>278.86</v>
      </c>
    </row>
    <row r="51" spans="1:4" x14ac:dyDescent="0.25">
      <c r="A51" s="205" t="s">
        <v>274</v>
      </c>
      <c r="B51" s="205" t="s">
        <v>251</v>
      </c>
      <c r="C51" s="205">
        <v>9.51</v>
      </c>
      <c r="D51" s="205">
        <v>1100.4100000000001</v>
      </c>
    </row>
    <row r="52" spans="1:4" x14ac:dyDescent="0.25">
      <c r="A52" t="s">
        <v>323</v>
      </c>
      <c r="B52" t="s">
        <v>39</v>
      </c>
      <c r="C52">
        <v>2.99</v>
      </c>
      <c r="D52">
        <v>345.98</v>
      </c>
    </row>
    <row r="53" spans="1:4" x14ac:dyDescent="0.25">
      <c r="A53" t="s">
        <v>324</v>
      </c>
      <c r="B53" t="s">
        <v>40</v>
      </c>
      <c r="C53">
        <v>2.2400000000000002</v>
      </c>
      <c r="D53">
        <v>259.19</v>
      </c>
    </row>
    <row r="54" spans="1:4" x14ac:dyDescent="0.25">
      <c r="A54" t="s">
        <v>325</v>
      </c>
      <c r="B54" t="s">
        <v>35</v>
      </c>
      <c r="C54">
        <v>1.93</v>
      </c>
      <c r="D54">
        <v>223.32</v>
      </c>
    </row>
    <row r="55" spans="1:4" x14ac:dyDescent="0.25">
      <c r="A55" s="205" t="s">
        <v>275</v>
      </c>
      <c r="B55" s="205" t="s">
        <v>250</v>
      </c>
      <c r="C55" s="205">
        <v>1.29</v>
      </c>
      <c r="D55" s="205">
        <v>149.27000000000001</v>
      </c>
    </row>
    <row r="56" spans="1:4" x14ac:dyDescent="0.25">
      <c r="A56" s="205" t="s">
        <v>276</v>
      </c>
      <c r="B56" s="205" t="s">
        <v>249</v>
      </c>
      <c r="C56" s="205">
        <v>1</v>
      </c>
      <c r="D56" s="205">
        <v>115.71</v>
      </c>
    </row>
    <row r="57" spans="1:4" x14ac:dyDescent="0.25">
      <c r="A57" s="205" t="s">
        <v>277</v>
      </c>
      <c r="B57" s="205" t="s">
        <v>248</v>
      </c>
      <c r="C57" s="205">
        <v>0.94</v>
      </c>
      <c r="D57" s="205">
        <v>108.77</v>
      </c>
    </row>
    <row r="58" spans="1:4" x14ac:dyDescent="0.25">
      <c r="A58" s="205" t="s">
        <v>278</v>
      </c>
      <c r="B58" s="205" t="s">
        <v>247</v>
      </c>
      <c r="C58" s="205">
        <v>0.96</v>
      </c>
      <c r="D58" s="205">
        <v>111.08</v>
      </c>
    </row>
    <row r="59" spans="1:4" x14ac:dyDescent="0.25">
      <c r="A59" s="205" t="s">
        <v>279</v>
      </c>
      <c r="B59" s="205" t="s">
        <v>246</v>
      </c>
      <c r="C59" s="205">
        <v>0.98</v>
      </c>
      <c r="D59" s="205">
        <v>113.4</v>
      </c>
    </row>
    <row r="60" spans="1:4" x14ac:dyDescent="0.25">
      <c r="A60" t="s">
        <v>212</v>
      </c>
      <c r="B60" t="s">
        <v>3</v>
      </c>
      <c r="C60">
        <v>1.6</v>
      </c>
      <c r="D60">
        <v>185.14</v>
      </c>
    </row>
    <row r="61" spans="1:4" x14ac:dyDescent="0.25">
      <c r="A61" t="s">
        <v>326</v>
      </c>
      <c r="B61" t="s">
        <v>4</v>
      </c>
      <c r="C61">
        <v>2.06</v>
      </c>
      <c r="D61">
        <v>238.36</v>
      </c>
    </row>
    <row r="62" spans="1:4" x14ac:dyDescent="0.25">
      <c r="A62" t="s">
        <v>327</v>
      </c>
      <c r="B62" t="s">
        <v>5</v>
      </c>
      <c r="C62">
        <v>3.43</v>
      </c>
      <c r="D62">
        <v>396.89</v>
      </c>
    </row>
    <row r="63" spans="1:4" x14ac:dyDescent="0.25">
      <c r="A63" t="s">
        <v>213</v>
      </c>
      <c r="B63" t="s">
        <v>6</v>
      </c>
      <c r="C63">
        <v>4.08</v>
      </c>
      <c r="D63">
        <v>472.1</v>
      </c>
    </row>
    <row r="64" spans="1:4" x14ac:dyDescent="0.25">
      <c r="A64" t="s">
        <v>214</v>
      </c>
      <c r="B64" t="s">
        <v>7</v>
      </c>
      <c r="C64">
        <v>5</v>
      </c>
      <c r="D64">
        <v>578.54999999999995</v>
      </c>
    </row>
    <row r="65" spans="1:4" x14ac:dyDescent="0.25">
      <c r="A65" t="s">
        <v>215</v>
      </c>
      <c r="B65" t="s">
        <v>8</v>
      </c>
      <c r="C65">
        <v>5.78</v>
      </c>
      <c r="D65">
        <v>668.81</v>
      </c>
    </row>
    <row r="66" spans="1:4" x14ac:dyDescent="0.25">
      <c r="A66" t="s">
        <v>216</v>
      </c>
      <c r="B66" t="s">
        <v>9</v>
      </c>
      <c r="C66">
        <v>3.62</v>
      </c>
      <c r="D66">
        <v>418.87</v>
      </c>
    </row>
    <row r="67" spans="1:4" x14ac:dyDescent="0.25">
      <c r="A67" t="s">
        <v>328</v>
      </c>
      <c r="B67" t="s">
        <v>10</v>
      </c>
      <c r="C67">
        <v>3.57</v>
      </c>
      <c r="D67">
        <v>413.09</v>
      </c>
    </row>
    <row r="68" spans="1:4" x14ac:dyDescent="0.25">
      <c r="A68" t="s">
        <v>329</v>
      </c>
      <c r="B68" t="s">
        <v>11</v>
      </c>
      <c r="C68">
        <v>3</v>
      </c>
      <c r="D68">
        <v>347.13</v>
      </c>
    </row>
    <row r="69" spans="1:4" x14ac:dyDescent="0.25">
      <c r="A69" t="s">
        <v>217</v>
      </c>
      <c r="B69" t="s">
        <v>47</v>
      </c>
      <c r="C69">
        <v>2.56</v>
      </c>
      <c r="D69">
        <v>296.22000000000003</v>
      </c>
    </row>
    <row r="70" spans="1:4" x14ac:dyDescent="0.25">
      <c r="A70" t="s">
        <v>330</v>
      </c>
      <c r="B70" t="s">
        <v>48</v>
      </c>
      <c r="C70">
        <v>4.92</v>
      </c>
      <c r="D70">
        <v>569.29999999999995</v>
      </c>
    </row>
    <row r="71" spans="1:4" x14ac:dyDescent="0.25">
      <c r="A71" s="205" t="s">
        <v>280</v>
      </c>
      <c r="B71" s="205" t="s">
        <v>245</v>
      </c>
      <c r="C71" s="205">
        <v>16.600000000000001</v>
      </c>
      <c r="D71" s="205">
        <v>1920.8</v>
      </c>
    </row>
    <row r="72" spans="1:4" x14ac:dyDescent="0.25">
      <c r="A72" t="s">
        <v>218</v>
      </c>
      <c r="B72" t="s">
        <v>43</v>
      </c>
      <c r="C72">
        <v>4.16</v>
      </c>
      <c r="D72">
        <v>481.36</v>
      </c>
    </row>
    <row r="73" spans="1:4" x14ac:dyDescent="0.25">
      <c r="A73" t="s">
        <v>219</v>
      </c>
      <c r="B73" t="s">
        <v>44</v>
      </c>
      <c r="C73">
        <v>14.13</v>
      </c>
      <c r="D73">
        <v>1635</v>
      </c>
    </row>
    <row r="74" spans="1:4" x14ac:dyDescent="0.25">
      <c r="A74" s="205" t="s">
        <v>281</v>
      </c>
      <c r="B74" s="205" t="s">
        <v>244</v>
      </c>
      <c r="C74" s="205">
        <v>2.4700000000000002</v>
      </c>
      <c r="D74" s="205">
        <v>285.81</v>
      </c>
    </row>
    <row r="75" spans="1:4" x14ac:dyDescent="0.25">
      <c r="A75" t="s">
        <v>331</v>
      </c>
      <c r="B75" t="s">
        <v>37</v>
      </c>
      <c r="C75">
        <v>1.38</v>
      </c>
      <c r="D75">
        <v>159.68</v>
      </c>
    </row>
    <row r="76" spans="1:4" x14ac:dyDescent="0.25">
      <c r="A76" t="s">
        <v>220</v>
      </c>
      <c r="B76" t="s">
        <v>46</v>
      </c>
      <c r="C76">
        <v>0.62</v>
      </c>
      <c r="D76">
        <v>71.739999999999995</v>
      </c>
    </row>
    <row r="77" spans="1:4" x14ac:dyDescent="0.25">
      <c r="A77" t="s">
        <v>332</v>
      </c>
      <c r="B77" t="s">
        <v>45</v>
      </c>
      <c r="C77">
        <v>0.39</v>
      </c>
      <c r="D77">
        <v>45.13</v>
      </c>
    </row>
    <row r="78" spans="1:4" x14ac:dyDescent="0.25">
      <c r="A78" t="s">
        <v>333</v>
      </c>
      <c r="B78" t="s">
        <v>28</v>
      </c>
      <c r="C78">
        <v>1.47</v>
      </c>
      <c r="D78">
        <v>170.1</v>
      </c>
    </row>
    <row r="79" spans="1:4" x14ac:dyDescent="0.25">
      <c r="A79" t="s">
        <v>221</v>
      </c>
      <c r="B79" t="s">
        <v>36</v>
      </c>
      <c r="C79">
        <v>0.34</v>
      </c>
      <c r="D79">
        <v>39.340000000000003</v>
      </c>
    </row>
    <row r="80" spans="1:4" x14ac:dyDescent="0.25">
      <c r="A80" s="205" t="s">
        <v>282</v>
      </c>
      <c r="B80" s="205" t="s">
        <v>243</v>
      </c>
      <c r="C80" s="205">
        <v>0.66</v>
      </c>
      <c r="D80" s="205">
        <v>76.37</v>
      </c>
    </row>
    <row r="81" spans="1:4" x14ac:dyDescent="0.25">
      <c r="A81" t="s">
        <v>334</v>
      </c>
      <c r="B81" t="s">
        <v>41</v>
      </c>
      <c r="C81">
        <v>1.27</v>
      </c>
      <c r="D81">
        <v>146.94999999999999</v>
      </c>
    </row>
    <row r="82" spans="1:4" x14ac:dyDescent="0.25">
      <c r="A82" s="205" t="s">
        <v>283</v>
      </c>
      <c r="B82" s="205" t="s">
        <v>242</v>
      </c>
      <c r="C82" s="205">
        <v>1.47</v>
      </c>
      <c r="D82" s="205">
        <v>170.1</v>
      </c>
    </row>
    <row r="83" spans="1:4" x14ac:dyDescent="0.25">
      <c r="A83" t="s">
        <v>222</v>
      </c>
      <c r="B83" t="s">
        <v>34</v>
      </c>
      <c r="C83">
        <v>0</v>
      </c>
      <c r="D83">
        <v>0</v>
      </c>
    </row>
    <row r="84" spans="1:4" x14ac:dyDescent="0.25">
      <c r="A84" s="205" t="s">
        <v>284</v>
      </c>
      <c r="B84" s="205" t="s">
        <v>241</v>
      </c>
      <c r="C84" s="205">
        <v>0</v>
      </c>
      <c r="D84" s="205">
        <v>0</v>
      </c>
    </row>
  </sheetData>
  <sortState xmlns:xlrd2="http://schemas.microsoft.com/office/spreadsheetml/2017/richdata2" ref="A2:D84">
    <sortCondition ref="B1:B8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D75F3-0719-4F73-896E-2E7B34D71A07}">
  <sheetPr codeName="Sheet3">
    <tabColor theme="4" tint="-0.249977111117893"/>
  </sheetPr>
  <dimension ref="A1:G93"/>
  <sheetViews>
    <sheetView topLeftCell="B1" zoomScale="110" zoomScaleNormal="110" workbookViewId="0">
      <pane ySplit="4" topLeftCell="A66" activePane="bottomLeft" state="frozen"/>
      <selection activeCell="A37" sqref="A37"/>
      <selection pane="bottomLeft" activeCell="C6" sqref="C6"/>
    </sheetView>
  </sheetViews>
  <sheetFormatPr defaultColWidth="15.140625" defaultRowHeight="15" x14ac:dyDescent="0.25"/>
  <cols>
    <col min="1" max="1" width="56.28515625" bestFit="1" customWidth="1"/>
    <col min="2" max="2" width="7.7109375" bestFit="1" customWidth="1"/>
    <col min="3" max="4" width="15.28515625" style="40" customWidth="1"/>
    <col min="5" max="5" width="15.42578125" style="41" customWidth="1"/>
  </cols>
  <sheetData>
    <row r="1" spans="1:7" x14ac:dyDescent="0.25">
      <c r="A1" s="13"/>
      <c r="B1" s="14"/>
      <c r="C1" s="15"/>
      <c r="D1" s="15"/>
      <c r="E1" s="16"/>
      <c r="F1" t="s">
        <v>95</v>
      </c>
    </row>
    <row r="2" spans="1:7" x14ac:dyDescent="0.25">
      <c r="A2" s="209" t="s">
        <v>96</v>
      </c>
      <c r="B2" s="209"/>
      <c r="C2" s="209"/>
      <c r="D2" s="209"/>
      <c r="E2" s="209"/>
      <c r="F2" t="s">
        <v>97</v>
      </c>
    </row>
    <row r="3" spans="1:7" x14ac:dyDescent="0.25">
      <c r="A3" s="210" t="s">
        <v>98</v>
      </c>
      <c r="B3" s="210"/>
      <c r="C3" s="210"/>
      <c r="D3" s="210"/>
      <c r="E3" s="210"/>
      <c r="G3" t="s">
        <v>99</v>
      </c>
    </row>
    <row r="4" spans="1:7" s="18" customFormat="1" ht="25.5" x14ac:dyDescent="0.25">
      <c r="A4" s="18" t="s">
        <v>100</v>
      </c>
      <c r="B4" s="18" t="s">
        <v>101</v>
      </c>
      <c r="C4" s="19" t="s">
        <v>102</v>
      </c>
      <c r="D4" s="19" t="s">
        <v>103</v>
      </c>
      <c r="E4" s="20" t="s">
        <v>104</v>
      </c>
    </row>
    <row r="5" spans="1:7" x14ac:dyDescent="0.25">
      <c r="A5" s="27" t="s">
        <v>106</v>
      </c>
      <c r="B5" s="42"/>
      <c r="C5" s="43"/>
      <c r="D5" s="17" t="s">
        <v>335</v>
      </c>
      <c r="E5" s="28">
        <v>115.71</v>
      </c>
      <c r="F5" t="s">
        <v>199</v>
      </c>
    </row>
    <row r="6" spans="1:7" x14ac:dyDescent="0.25">
      <c r="A6" s="1" t="s">
        <v>285</v>
      </c>
      <c r="B6" s="1" t="s">
        <v>200</v>
      </c>
      <c r="C6" s="2">
        <v>0.62</v>
      </c>
      <c r="D6" s="29">
        <f>(C6*$E$5)/100</f>
        <v>0.71740199999999998</v>
      </c>
      <c r="E6" s="22">
        <v>71.739999999999995</v>
      </c>
      <c r="F6" s="180" t="s">
        <v>198</v>
      </c>
    </row>
    <row r="7" spans="1:7" x14ac:dyDescent="0.25">
      <c r="A7" s="1" t="s">
        <v>286</v>
      </c>
      <c r="B7" s="1" t="s">
        <v>0</v>
      </c>
      <c r="C7" s="2">
        <v>0.93</v>
      </c>
      <c r="D7" s="29">
        <f t="shared" ref="D7:D70" si="0">(C7*$E$5)/100</f>
        <v>1.076103</v>
      </c>
      <c r="E7" s="22">
        <v>107.61</v>
      </c>
      <c r="F7" s="180"/>
    </row>
    <row r="8" spans="1:7" x14ac:dyDescent="0.25">
      <c r="A8" s="1" t="s">
        <v>262</v>
      </c>
      <c r="B8" s="1" t="s">
        <v>261</v>
      </c>
      <c r="C8" s="2">
        <v>0.91</v>
      </c>
      <c r="D8" s="29">
        <f t="shared" si="0"/>
        <v>1.052961</v>
      </c>
      <c r="E8" s="29">
        <v>105.3</v>
      </c>
      <c r="F8" s="180"/>
    </row>
    <row r="9" spans="1:7" x14ac:dyDescent="0.25">
      <c r="A9" s="1" t="s">
        <v>287</v>
      </c>
      <c r="B9" s="1" t="s">
        <v>1</v>
      </c>
      <c r="C9" s="2">
        <v>1.05</v>
      </c>
      <c r="D9" s="29">
        <f t="shared" si="0"/>
        <v>1.214955</v>
      </c>
      <c r="E9" s="22">
        <v>121.5</v>
      </c>
    </row>
    <row r="10" spans="1:7" x14ac:dyDescent="0.25">
      <c r="A10" s="1" t="s">
        <v>288</v>
      </c>
      <c r="B10" s="1" t="s">
        <v>2</v>
      </c>
      <c r="C10" s="2">
        <v>1.58</v>
      </c>
      <c r="D10" s="29">
        <f t="shared" si="0"/>
        <v>1.8282179999999999</v>
      </c>
      <c r="E10" s="22">
        <v>182.82</v>
      </c>
    </row>
    <row r="11" spans="1:7" x14ac:dyDescent="0.25">
      <c r="A11" s="1" t="s">
        <v>263</v>
      </c>
      <c r="B11" s="1" t="s">
        <v>260</v>
      </c>
      <c r="C11" s="2">
        <v>0.75</v>
      </c>
      <c r="D11" s="29">
        <f t="shared" si="0"/>
        <v>0.86782499999999996</v>
      </c>
      <c r="E11" s="22">
        <v>86.78</v>
      </c>
    </row>
    <row r="12" spans="1:7" x14ac:dyDescent="0.25">
      <c r="A12" s="1" t="s">
        <v>289</v>
      </c>
      <c r="B12" s="1" t="s">
        <v>201</v>
      </c>
      <c r="C12" s="2">
        <v>0.5</v>
      </c>
      <c r="D12" s="29">
        <f t="shared" si="0"/>
        <v>0.57855000000000001</v>
      </c>
      <c r="E12" s="22">
        <v>57.86</v>
      </c>
    </row>
    <row r="13" spans="1:7" x14ac:dyDescent="0.25">
      <c r="A13" s="1" t="s">
        <v>290</v>
      </c>
      <c r="B13" s="1" t="s">
        <v>202</v>
      </c>
      <c r="C13" s="2">
        <v>1.64</v>
      </c>
      <c r="D13" s="29">
        <f t="shared" si="0"/>
        <v>1.8976439999999997</v>
      </c>
      <c r="E13" s="22">
        <v>189.77</v>
      </c>
    </row>
    <row r="14" spans="1:7" x14ac:dyDescent="0.25">
      <c r="A14" s="1" t="s">
        <v>291</v>
      </c>
      <c r="B14" s="1" t="s">
        <v>31</v>
      </c>
      <c r="C14" s="2">
        <v>0.36</v>
      </c>
      <c r="D14" s="29">
        <f t="shared" si="0"/>
        <v>0.41655599999999998</v>
      </c>
      <c r="E14" s="22">
        <v>41.66</v>
      </c>
    </row>
    <row r="15" spans="1:7" x14ac:dyDescent="0.25">
      <c r="A15" s="1" t="s">
        <v>292</v>
      </c>
      <c r="B15" s="1" t="s">
        <v>42</v>
      </c>
      <c r="C15" s="2">
        <v>0.3</v>
      </c>
      <c r="D15" s="29">
        <f t="shared" si="0"/>
        <v>0.34712999999999994</v>
      </c>
      <c r="E15" s="22">
        <v>34.71</v>
      </c>
    </row>
    <row r="16" spans="1:7" x14ac:dyDescent="0.25">
      <c r="A16" s="1" t="s">
        <v>293</v>
      </c>
      <c r="B16" s="1" t="s">
        <v>203</v>
      </c>
      <c r="C16" s="2">
        <v>0.44</v>
      </c>
      <c r="D16" s="29">
        <f t="shared" si="0"/>
        <v>0.50912400000000002</v>
      </c>
      <c r="E16" s="22">
        <v>50.91</v>
      </c>
    </row>
    <row r="17" spans="1:5" x14ac:dyDescent="0.25">
      <c r="A17" s="1" t="s">
        <v>294</v>
      </c>
      <c r="B17" s="1" t="s">
        <v>204</v>
      </c>
      <c r="C17" s="2">
        <v>0.37</v>
      </c>
      <c r="D17" s="29">
        <f t="shared" si="0"/>
        <v>0.42812699999999998</v>
      </c>
      <c r="E17" s="22">
        <v>42.81</v>
      </c>
    </row>
    <row r="18" spans="1:5" x14ac:dyDescent="0.25">
      <c r="A18" s="1" t="s">
        <v>295</v>
      </c>
      <c r="B18" s="1" t="s">
        <v>32</v>
      </c>
      <c r="C18" s="2">
        <v>0.55000000000000004</v>
      </c>
      <c r="D18" s="29">
        <f t="shared" si="0"/>
        <v>0.636405</v>
      </c>
      <c r="E18" s="22">
        <v>63.64</v>
      </c>
    </row>
    <row r="19" spans="1:5" x14ac:dyDescent="0.25">
      <c r="A19" s="1" t="s">
        <v>264</v>
      </c>
      <c r="B19" s="1" t="s">
        <v>259</v>
      </c>
      <c r="C19" s="2">
        <v>0.63</v>
      </c>
      <c r="D19" s="29">
        <f t="shared" si="0"/>
        <v>0.72897299999999998</v>
      </c>
      <c r="E19" s="22">
        <v>72.900000000000006</v>
      </c>
    </row>
    <row r="20" spans="1:5" x14ac:dyDescent="0.25">
      <c r="A20" s="1" t="s">
        <v>296</v>
      </c>
      <c r="B20" s="1" t="s">
        <v>33</v>
      </c>
      <c r="C20" s="2">
        <v>0.76</v>
      </c>
      <c r="D20" s="29">
        <f t="shared" si="0"/>
        <v>0.87939599999999996</v>
      </c>
      <c r="E20" s="22">
        <v>87.94</v>
      </c>
    </row>
    <row r="21" spans="1:5" x14ac:dyDescent="0.25">
      <c r="A21" s="1" t="s">
        <v>297</v>
      </c>
      <c r="B21" s="1" t="s">
        <v>205</v>
      </c>
      <c r="C21" s="2">
        <v>1.37</v>
      </c>
      <c r="D21" s="29">
        <f t="shared" si="0"/>
        <v>1.5852270000000002</v>
      </c>
      <c r="E21" s="22">
        <v>158.52000000000001</v>
      </c>
    </row>
    <row r="22" spans="1:5" x14ac:dyDescent="0.25">
      <c r="A22" s="1" t="s">
        <v>298</v>
      </c>
      <c r="B22" s="1" t="s">
        <v>206</v>
      </c>
      <c r="C22" s="2">
        <v>0</v>
      </c>
      <c r="D22" s="29">
        <f t="shared" si="0"/>
        <v>0</v>
      </c>
      <c r="E22" s="22">
        <v>0</v>
      </c>
    </row>
    <row r="23" spans="1:5" x14ac:dyDescent="0.25">
      <c r="A23" s="1" t="s">
        <v>299</v>
      </c>
      <c r="B23" s="1" t="s">
        <v>12</v>
      </c>
      <c r="C23" s="2">
        <v>1.08</v>
      </c>
      <c r="D23" s="29">
        <f t="shared" si="0"/>
        <v>1.249668</v>
      </c>
      <c r="E23" s="22">
        <v>124.97</v>
      </c>
    </row>
    <row r="24" spans="1:5" x14ac:dyDescent="0.25">
      <c r="A24" s="1" t="s">
        <v>300</v>
      </c>
      <c r="B24" s="1" t="s">
        <v>38</v>
      </c>
      <c r="C24" s="2">
        <v>0.84</v>
      </c>
      <c r="D24" s="29">
        <f t="shared" si="0"/>
        <v>0.97196399999999994</v>
      </c>
      <c r="E24" s="22">
        <v>97.2</v>
      </c>
    </row>
    <row r="25" spans="1:5" x14ac:dyDescent="0.25">
      <c r="A25" s="1" t="s">
        <v>301</v>
      </c>
      <c r="B25" s="1" t="s">
        <v>207</v>
      </c>
      <c r="C25" s="2">
        <v>0.5</v>
      </c>
      <c r="D25" s="29">
        <f t="shared" si="0"/>
        <v>0.57855000000000001</v>
      </c>
      <c r="E25" s="22">
        <v>57.86</v>
      </c>
    </row>
    <row r="26" spans="1:5" x14ac:dyDescent="0.25">
      <c r="A26" s="1" t="s">
        <v>302</v>
      </c>
      <c r="B26" s="1" t="s">
        <v>29</v>
      </c>
      <c r="C26" s="2">
        <v>0.59</v>
      </c>
      <c r="D26" s="29">
        <f t="shared" si="0"/>
        <v>0.68268899999999988</v>
      </c>
      <c r="E26" s="22">
        <v>68.27</v>
      </c>
    </row>
    <row r="27" spans="1:5" x14ac:dyDescent="0.25">
      <c r="A27" s="1" t="s">
        <v>303</v>
      </c>
      <c r="B27" s="1" t="s">
        <v>30</v>
      </c>
      <c r="C27" s="2">
        <v>0.56999999999999995</v>
      </c>
      <c r="D27" s="29">
        <f t="shared" si="0"/>
        <v>0.65954699999999988</v>
      </c>
      <c r="E27" s="22">
        <v>65.959999999999994</v>
      </c>
    </row>
    <row r="28" spans="1:5" x14ac:dyDescent="0.25">
      <c r="A28" s="1" t="s">
        <v>265</v>
      </c>
      <c r="B28" s="1" t="s">
        <v>258</v>
      </c>
      <c r="C28" s="2">
        <v>0.57999999999999996</v>
      </c>
      <c r="D28" s="29">
        <f t="shared" si="0"/>
        <v>0.67111799999999988</v>
      </c>
      <c r="E28" s="22">
        <v>67.11</v>
      </c>
    </row>
    <row r="29" spans="1:5" x14ac:dyDescent="0.25">
      <c r="A29" s="1" t="s">
        <v>266</v>
      </c>
      <c r="B29" s="1" t="s">
        <v>223</v>
      </c>
      <c r="C29" s="2">
        <v>0.7</v>
      </c>
      <c r="D29" s="29">
        <f t="shared" si="0"/>
        <v>0.80996999999999986</v>
      </c>
      <c r="E29" s="22">
        <v>81</v>
      </c>
    </row>
    <row r="30" spans="1:5" x14ac:dyDescent="0.25">
      <c r="A30" s="1" t="s">
        <v>266</v>
      </c>
      <c r="B30" s="1" t="s">
        <v>257</v>
      </c>
      <c r="C30" s="2">
        <v>0.67</v>
      </c>
      <c r="D30" s="29">
        <f t="shared" si="0"/>
        <v>0.77525699999999997</v>
      </c>
      <c r="E30" s="22">
        <v>77.53</v>
      </c>
    </row>
    <row r="31" spans="1:5" x14ac:dyDescent="0.25">
      <c r="A31" s="1" t="s">
        <v>266</v>
      </c>
      <c r="B31" s="1" t="s">
        <v>256</v>
      </c>
      <c r="C31" s="2">
        <v>1.0900000000000001</v>
      </c>
      <c r="D31" s="29">
        <f t="shared" si="0"/>
        <v>1.261239</v>
      </c>
      <c r="E31" s="22">
        <v>126.12</v>
      </c>
    </row>
    <row r="32" spans="1:5" x14ac:dyDescent="0.25">
      <c r="A32" s="1" t="s">
        <v>304</v>
      </c>
      <c r="B32" s="1" t="s">
        <v>208</v>
      </c>
      <c r="C32" s="2">
        <v>0.52</v>
      </c>
      <c r="D32" s="29">
        <f t="shared" si="0"/>
        <v>0.601692</v>
      </c>
      <c r="E32" s="22">
        <v>60.17</v>
      </c>
    </row>
    <row r="33" spans="1:5" x14ac:dyDescent="0.25">
      <c r="A33" s="1" t="s">
        <v>305</v>
      </c>
      <c r="B33" s="1" t="s">
        <v>13</v>
      </c>
      <c r="C33" s="2">
        <v>1.61</v>
      </c>
      <c r="D33" s="29">
        <f t="shared" si="0"/>
        <v>1.8629310000000001</v>
      </c>
      <c r="E33" s="22">
        <v>186.29</v>
      </c>
    </row>
    <row r="34" spans="1:5" x14ac:dyDescent="0.25">
      <c r="A34" s="1" t="s">
        <v>306</v>
      </c>
      <c r="B34" s="1" t="s">
        <v>14</v>
      </c>
      <c r="C34" s="2">
        <v>1.95</v>
      </c>
      <c r="D34" s="29">
        <f t="shared" si="0"/>
        <v>2.2563449999999996</v>
      </c>
      <c r="E34" s="22">
        <v>225.64</v>
      </c>
    </row>
    <row r="35" spans="1:5" x14ac:dyDescent="0.25">
      <c r="A35" s="1" t="s">
        <v>307</v>
      </c>
      <c r="B35" s="1" t="s">
        <v>15</v>
      </c>
      <c r="C35" s="2">
        <v>2.29</v>
      </c>
      <c r="D35" s="29">
        <f t="shared" si="0"/>
        <v>2.6497589999999995</v>
      </c>
      <c r="E35" s="22">
        <v>264.98</v>
      </c>
    </row>
    <row r="36" spans="1:5" x14ac:dyDescent="0.25">
      <c r="A36" s="1" t="s">
        <v>308</v>
      </c>
      <c r="B36" s="1" t="s">
        <v>16</v>
      </c>
      <c r="C36" s="2">
        <v>2.5499999999999998</v>
      </c>
      <c r="D36" s="29">
        <f t="shared" si="0"/>
        <v>2.9506049999999999</v>
      </c>
      <c r="E36" s="22">
        <v>295.06</v>
      </c>
    </row>
    <row r="37" spans="1:5" x14ac:dyDescent="0.25">
      <c r="A37" s="1" t="s">
        <v>309</v>
      </c>
      <c r="B37" s="1" t="s">
        <v>17</v>
      </c>
      <c r="C37" s="2">
        <v>1.92</v>
      </c>
      <c r="D37" s="29">
        <f t="shared" si="0"/>
        <v>2.2216320000000001</v>
      </c>
      <c r="E37" s="22">
        <v>222.16</v>
      </c>
    </row>
    <row r="38" spans="1:5" x14ac:dyDescent="0.25">
      <c r="A38" s="1" t="s">
        <v>310</v>
      </c>
      <c r="B38" s="1" t="s">
        <v>18</v>
      </c>
      <c r="C38" s="2">
        <v>2.33</v>
      </c>
      <c r="D38" s="29">
        <f t="shared" si="0"/>
        <v>2.6960429999999995</v>
      </c>
      <c r="E38" s="22">
        <v>269.61</v>
      </c>
    </row>
    <row r="39" spans="1:5" x14ac:dyDescent="0.25">
      <c r="A39" s="1" t="s">
        <v>311</v>
      </c>
      <c r="B39" s="1" t="s">
        <v>19</v>
      </c>
      <c r="C39" s="2">
        <v>2.82</v>
      </c>
      <c r="D39" s="29">
        <f t="shared" si="0"/>
        <v>3.2630219999999999</v>
      </c>
      <c r="E39" s="22">
        <v>326.3</v>
      </c>
    </row>
    <row r="40" spans="1:5" x14ac:dyDescent="0.25">
      <c r="A40" s="1" t="s">
        <v>312</v>
      </c>
      <c r="B40" s="1" t="s">
        <v>20</v>
      </c>
      <c r="C40" s="2">
        <v>3.48</v>
      </c>
      <c r="D40" s="29">
        <f t="shared" si="0"/>
        <v>4.0267080000000002</v>
      </c>
      <c r="E40" s="22">
        <v>402.67</v>
      </c>
    </row>
    <row r="41" spans="1:5" x14ac:dyDescent="0.25">
      <c r="A41" s="1" t="s">
        <v>313</v>
      </c>
      <c r="B41" s="1" t="s">
        <v>21</v>
      </c>
      <c r="C41" s="2">
        <v>2.11</v>
      </c>
      <c r="D41" s="29">
        <f t="shared" si="0"/>
        <v>2.4414809999999996</v>
      </c>
      <c r="E41" s="22">
        <v>244.15</v>
      </c>
    </row>
    <row r="42" spans="1:5" x14ac:dyDescent="0.25">
      <c r="A42" s="1" t="s">
        <v>314</v>
      </c>
      <c r="B42" s="1" t="s">
        <v>22</v>
      </c>
      <c r="C42" s="2">
        <v>2.68</v>
      </c>
      <c r="D42" s="29">
        <f t="shared" si="0"/>
        <v>3.1010279999999999</v>
      </c>
      <c r="E42" s="22">
        <v>310.11</v>
      </c>
    </row>
    <row r="43" spans="1:5" x14ac:dyDescent="0.25">
      <c r="A43" s="1" t="s">
        <v>315</v>
      </c>
      <c r="B43" s="1" t="s">
        <v>23</v>
      </c>
      <c r="C43" s="2">
        <v>3.23</v>
      </c>
      <c r="D43" s="29">
        <f t="shared" si="0"/>
        <v>3.7374329999999998</v>
      </c>
      <c r="E43" s="22">
        <v>373.75</v>
      </c>
    </row>
    <row r="44" spans="1:5" x14ac:dyDescent="0.25">
      <c r="A44" s="1" t="s">
        <v>316</v>
      </c>
      <c r="B44" s="1" t="s">
        <v>24</v>
      </c>
      <c r="C44" s="2">
        <v>3.77</v>
      </c>
      <c r="D44" s="29">
        <f t="shared" si="0"/>
        <v>4.3622670000000001</v>
      </c>
      <c r="E44" s="22">
        <v>436.23</v>
      </c>
    </row>
    <row r="45" spans="1:5" x14ac:dyDescent="0.25">
      <c r="A45" s="1" t="s">
        <v>270</v>
      </c>
      <c r="B45" s="1" t="s">
        <v>255</v>
      </c>
      <c r="C45" s="2">
        <v>1.28</v>
      </c>
      <c r="D45" s="29">
        <f t="shared" si="0"/>
        <v>1.481088</v>
      </c>
      <c r="E45" s="22">
        <v>148.11000000000001</v>
      </c>
    </row>
    <row r="46" spans="1:5" x14ac:dyDescent="0.25">
      <c r="A46" s="1" t="s">
        <v>317</v>
      </c>
      <c r="B46" s="1" t="s">
        <v>26</v>
      </c>
      <c r="C46" s="2">
        <v>3.27</v>
      </c>
      <c r="D46" s="29">
        <f t="shared" si="0"/>
        <v>3.7837169999999998</v>
      </c>
      <c r="E46" s="22">
        <v>378.37</v>
      </c>
    </row>
    <row r="47" spans="1:5" x14ac:dyDescent="0.25">
      <c r="A47" s="1" t="s">
        <v>318</v>
      </c>
      <c r="B47" s="1" t="s">
        <v>27</v>
      </c>
      <c r="C47" s="2">
        <v>3.8</v>
      </c>
      <c r="D47" s="29">
        <f t="shared" si="0"/>
        <v>4.3969800000000001</v>
      </c>
      <c r="E47" s="22">
        <v>439.7</v>
      </c>
    </row>
    <row r="48" spans="1:5" x14ac:dyDescent="0.25">
      <c r="A48" s="1" t="s">
        <v>271</v>
      </c>
      <c r="B48" s="1" t="s">
        <v>254</v>
      </c>
      <c r="C48" s="2">
        <v>4.1900000000000004</v>
      </c>
      <c r="D48" s="29">
        <f t="shared" si="0"/>
        <v>4.848249</v>
      </c>
      <c r="E48" s="22">
        <v>484.83</v>
      </c>
    </row>
    <row r="49" spans="1:5" x14ac:dyDescent="0.25">
      <c r="A49" s="1" t="s">
        <v>319</v>
      </c>
      <c r="B49" s="1" t="s">
        <v>25</v>
      </c>
      <c r="C49" s="2">
        <v>1.31</v>
      </c>
      <c r="D49" s="29">
        <f t="shared" si="0"/>
        <v>1.515801</v>
      </c>
      <c r="E49" s="22">
        <v>151.58000000000001</v>
      </c>
    </row>
    <row r="50" spans="1:5" x14ac:dyDescent="0.25">
      <c r="A50" s="1" t="s">
        <v>320</v>
      </c>
      <c r="B50" s="1" t="s">
        <v>209</v>
      </c>
      <c r="C50" s="2">
        <v>1.22</v>
      </c>
      <c r="D50" s="29">
        <f t="shared" si="0"/>
        <v>1.411662</v>
      </c>
      <c r="E50" s="22">
        <v>141.16999999999999</v>
      </c>
    </row>
    <row r="51" spans="1:5" x14ac:dyDescent="0.25">
      <c r="A51" s="1" t="s">
        <v>272</v>
      </c>
      <c r="B51" s="1" t="s">
        <v>253</v>
      </c>
      <c r="C51" s="2">
        <v>3.19</v>
      </c>
      <c r="D51" s="29">
        <f t="shared" si="0"/>
        <v>3.6911489999999998</v>
      </c>
      <c r="E51" s="22">
        <v>369.12</v>
      </c>
    </row>
    <row r="52" spans="1:5" x14ac:dyDescent="0.25">
      <c r="A52" s="1" t="s">
        <v>321</v>
      </c>
      <c r="B52" s="1" t="s">
        <v>210</v>
      </c>
      <c r="C52" s="2">
        <v>1.06</v>
      </c>
      <c r="D52" s="29">
        <f t="shared" si="0"/>
        <v>1.226526</v>
      </c>
      <c r="E52" s="22">
        <v>122.65</v>
      </c>
    </row>
    <row r="53" spans="1:5" x14ac:dyDescent="0.25">
      <c r="A53" s="1" t="s">
        <v>322</v>
      </c>
      <c r="B53" s="1" t="s">
        <v>211</v>
      </c>
      <c r="C53" s="2">
        <v>0.9</v>
      </c>
      <c r="D53" s="29">
        <f t="shared" si="0"/>
        <v>1.04139</v>
      </c>
      <c r="E53" s="22">
        <v>104.14</v>
      </c>
    </row>
    <row r="54" spans="1:5" x14ac:dyDescent="0.25">
      <c r="A54" s="1" t="s">
        <v>273</v>
      </c>
      <c r="B54" s="1" t="s">
        <v>252</v>
      </c>
      <c r="C54" s="2">
        <v>2.41</v>
      </c>
      <c r="D54" s="29">
        <f t="shared" si="0"/>
        <v>2.7886110000000004</v>
      </c>
      <c r="E54" s="22">
        <v>278.86</v>
      </c>
    </row>
    <row r="55" spans="1:5" x14ac:dyDescent="0.25">
      <c r="A55" s="1" t="s">
        <v>274</v>
      </c>
      <c r="B55" s="1" t="s">
        <v>251</v>
      </c>
      <c r="C55" s="2">
        <v>9.51</v>
      </c>
      <c r="D55" s="29">
        <f t="shared" si="0"/>
        <v>11.004021</v>
      </c>
      <c r="E55" s="22">
        <v>1100.4100000000001</v>
      </c>
    </row>
    <row r="56" spans="1:5" x14ac:dyDescent="0.25">
      <c r="A56" s="1" t="s">
        <v>323</v>
      </c>
      <c r="B56" s="1" t="s">
        <v>39</v>
      </c>
      <c r="C56" s="2">
        <v>2.99</v>
      </c>
      <c r="D56" s="29">
        <f t="shared" si="0"/>
        <v>3.4597289999999998</v>
      </c>
      <c r="E56" s="22">
        <v>345.98</v>
      </c>
    </row>
    <row r="57" spans="1:5" x14ac:dyDescent="0.25">
      <c r="A57" s="1" t="s">
        <v>324</v>
      </c>
      <c r="B57" s="1" t="s">
        <v>40</v>
      </c>
      <c r="C57" s="2">
        <v>2.2400000000000002</v>
      </c>
      <c r="D57" s="29">
        <f t="shared" si="0"/>
        <v>2.591904</v>
      </c>
      <c r="E57" s="22">
        <v>259.19</v>
      </c>
    </row>
    <row r="58" spans="1:5" x14ac:dyDescent="0.25">
      <c r="A58" s="1" t="s">
        <v>325</v>
      </c>
      <c r="B58" s="1" t="s">
        <v>35</v>
      </c>
      <c r="C58" s="2">
        <v>1.93</v>
      </c>
      <c r="D58" s="29">
        <f t="shared" si="0"/>
        <v>2.2332029999999996</v>
      </c>
      <c r="E58" s="22">
        <v>223.32</v>
      </c>
    </row>
    <row r="59" spans="1:5" x14ac:dyDescent="0.25">
      <c r="A59" s="1" t="s">
        <v>275</v>
      </c>
      <c r="B59" s="1" t="s">
        <v>250</v>
      </c>
      <c r="C59" s="2">
        <v>1.29</v>
      </c>
      <c r="D59" s="29">
        <f t="shared" si="0"/>
        <v>1.492659</v>
      </c>
      <c r="E59" s="22">
        <v>149.27000000000001</v>
      </c>
    </row>
    <row r="60" spans="1:5" x14ac:dyDescent="0.25">
      <c r="A60" s="1" t="s">
        <v>276</v>
      </c>
      <c r="B60" s="1" t="s">
        <v>249</v>
      </c>
      <c r="C60" s="2">
        <v>1</v>
      </c>
      <c r="D60" s="29">
        <f t="shared" si="0"/>
        <v>1.1571</v>
      </c>
      <c r="E60" s="22">
        <v>115.71</v>
      </c>
    </row>
    <row r="61" spans="1:5" x14ac:dyDescent="0.25">
      <c r="A61" s="1" t="s">
        <v>277</v>
      </c>
      <c r="B61" s="1" t="s">
        <v>248</v>
      </c>
      <c r="C61" s="2">
        <v>0.94</v>
      </c>
      <c r="D61" s="29">
        <f t="shared" si="0"/>
        <v>1.087674</v>
      </c>
      <c r="E61" s="22">
        <v>108.77</v>
      </c>
    </row>
    <row r="62" spans="1:5" x14ac:dyDescent="0.25">
      <c r="A62" s="1" t="s">
        <v>278</v>
      </c>
      <c r="B62" s="1" t="s">
        <v>247</v>
      </c>
      <c r="C62" s="2">
        <v>0.96</v>
      </c>
      <c r="D62" s="29">
        <f t="shared" si="0"/>
        <v>1.110816</v>
      </c>
      <c r="E62" s="22">
        <v>111.08</v>
      </c>
    </row>
    <row r="63" spans="1:5" x14ac:dyDescent="0.25">
      <c r="A63" s="1" t="s">
        <v>279</v>
      </c>
      <c r="B63" s="1" t="s">
        <v>246</v>
      </c>
      <c r="C63" s="2">
        <v>0.98</v>
      </c>
      <c r="D63" s="29">
        <f t="shared" si="0"/>
        <v>1.133958</v>
      </c>
      <c r="E63" s="22">
        <v>113.4</v>
      </c>
    </row>
    <row r="64" spans="1:5" x14ac:dyDescent="0.25">
      <c r="A64" s="1" t="s">
        <v>212</v>
      </c>
      <c r="B64" s="1" t="s">
        <v>3</v>
      </c>
      <c r="C64" s="2">
        <v>1.6</v>
      </c>
      <c r="D64" s="29">
        <f t="shared" si="0"/>
        <v>1.8513599999999999</v>
      </c>
      <c r="E64" s="22">
        <v>185.14</v>
      </c>
    </row>
    <row r="65" spans="1:5" x14ac:dyDescent="0.25">
      <c r="A65" s="1" t="s">
        <v>326</v>
      </c>
      <c r="B65" s="1" t="s">
        <v>4</v>
      </c>
      <c r="C65" s="2">
        <v>2.06</v>
      </c>
      <c r="D65" s="29">
        <f t="shared" si="0"/>
        <v>2.383626</v>
      </c>
      <c r="E65" s="22">
        <v>238.36</v>
      </c>
    </row>
    <row r="66" spans="1:5" x14ac:dyDescent="0.25">
      <c r="A66" s="1" t="s">
        <v>327</v>
      </c>
      <c r="B66" s="1" t="s">
        <v>5</v>
      </c>
      <c r="C66" s="2">
        <v>3.43</v>
      </c>
      <c r="D66" s="29">
        <f t="shared" si="0"/>
        <v>3.9688529999999997</v>
      </c>
      <c r="E66" s="22">
        <v>396.89</v>
      </c>
    </row>
    <row r="67" spans="1:5" x14ac:dyDescent="0.25">
      <c r="A67" s="1" t="s">
        <v>213</v>
      </c>
      <c r="B67" s="1" t="s">
        <v>6</v>
      </c>
      <c r="C67" s="2">
        <v>4.08</v>
      </c>
      <c r="D67" s="29">
        <f t="shared" si="0"/>
        <v>4.7209680000000001</v>
      </c>
      <c r="E67" s="22">
        <v>472.1</v>
      </c>
    </row>
    <row r="68" spans="1:5" x14ac:dyDescent="0.25">
      <c r="A68" s="1" t="s">
        <v>214</v>
      </c>
      <c r="B68" s="1" t="s">
        <v>7</v>
      </c>
      <c r="C68" s="2">
        <v>5</v>
      </c>
      <c r="D68" s="29">
        <f t="shared" si="0"/>
        <v>5.7854999999999999</v>
      </c>
      <c r="E68" s="22">
        <v>578.54999999999995</v>
      </c>
    </row>
    <row r="69" spans="1:5" x14ac:dyDescent="0.25">
      <c r="A69" s="1" t="s">
        <v>215</v>
      </c>
      <c r="B69" s="1" t="s">
        <v>8</v>
      </c>
      <c r="C69" s="2">
        <v>5.78</v>
      </c>
      <c r="D69" s="29">
        <f t="shared" si="0"/>
        <v>6.6880380000000006</v>
      </c>
      <c r="E69" s="22">
        <v>668.81</v>
      </c>
    </row>
    <row r="70" spans="1:5" x14ac:dyDescent="0.25">
      <c r="A70" s="1" t="s">
        <v>216</v>
      </c>
      <c r="B70" s="1" t="s">
        <v>9</v>
      </c>
      <c r="C70" s="2">
        <v>3.62</v>
      </c>
      <c r="D70" s="29">
        <f t="shared" si="0"/>
        <v>4.1887020000000001</v>
      </c>
      <c r="E70" s="22">
        <v>418.87</v>
      </c>
    </row>
    <row r="71" spans="1:5" x14ac:dyDescent="0.25">
      <c r="A71" s="1" t="s">
        <v>328</v>
      </c>
      <c r="B71" s="1" t="s">
        <v>10</v>
      </c>
      <c r="C71" s="2">
        <v>3.57</v>
      </c>
      <c r="D71" s="29">
        <f t="shared" ref="D71:D88" si="1">(C71*$E$5)/100</f>
        <v>4.1308469999999993</v>
      </c>
      <c r="E71" s="22">
        <v>413.09</v>
      </c>
    </row>
    <row r="72" spans="1:5" x14ac:dyDescent="0.25">
      <c r="A72" s="1" t="s">
        <v>329</v>
      </c>
      <c r="B72" s="1" t="s">
        <v>11</v>
      </c>
      <c r="C72" s="2">
        <v>3</v>
      </c>
      <c r="D72" s="29">
        <f t="shared" si="1"/>
        <v>3.4712999999999998</v>
      </c>
      <c r="E72" s="22">
        <v>347.13</v>
      </c>
    </row>
    <row r="73" spans="1:5" x14ac:dyDescent="0.25">
      <c r="A73" s="1" t="s">
        <v>217</v>
      </c>
      <c r="B73" s="1" t="s">
        <v>47</v>
      </c>
      <c r="C73" s="2">
        <v>2.56</v>
      </c>
      <c r="D73" s="29">
        <f t="shared" si="1"/>
        <v>2.9621759999999999</v>
      </c>
      <c r="E73" s="22">
        <v>296.22000000000003</v>
      </c>
    </row>
    <row r="74" spans="1:5" x14ac:dyDescent="0.25">
      <c r="A74" s="1" t="s">
        <v>330</v>
      </c>
      <c r="B74" s="1" t="s">
        <v>48</v>
      </c>
      <c r="C74" s="2">
        <v>4.92</v>
      </c>
      <c r="D74" s="29">
        <f t="shared" si="1"/>
        <v>5.6929319999999999</v>
      </c>
      <c r="E74" s="22">
        <v>569.29999999999995</v>
      </c>
    </row>
    <row r="75" spans="1:5" x14ac:dyDescent="0.25">
      <c r="A75" s="1" t="s">
        <v>280</v>
      </c>
      <c r="B75" s="1" t="s">
        <v>245</v>
      </c>
      <c r="C75" s="2">
        <v>16.600000000000001</v>
      </c>
      <c r="D75" s="29">
        <f t="shared" si="1"/>
        <v>19.20786</v>
      </c>
      <c r="E75" s="22">
        <v>1920.8</v>
      </c>
    </row>
    <row r="76" spans="1:5" x14ac:dyDescent="0.25">
      <c r="A76" s="1" t="s">
        <v>218</v>
      </c>
      <c r="B76" s="1" t="s">
        <v>43</v>
      </c>
      <c r="C76" s="2">
        <v>4.16</v>
      </c>
      <c r="D76" s="29">
        <f t="shared" si="1"/>
        <v>4.813536</v>
      </c>
      <c r="E76" s="22">
        <v>481.36</v>
      </c>
    </row>
    <row r="77" spans="1:5" x14ac:dyDescent="0.25">
      <c r="A77" s="1" t="s">
        <v>219</v>
      </c>
      <c r="B77" s="1" t="s">
        <v>44</v>
      </c>
      <c r="C77" s="2">
        <v>14.13</v>
      </c>
      <c r="D77" s="29">
        <f t="shared" si="1"/>
        <v>16.349823000000001</v>
      </c>
      <c r="E77" s="22">
        <v>1635</v>
      </c>
    </row>
    <row r="78" spans="1:5" s="6" customFormat="1" x14ac:dyDescent="0.25">
      <c r="A78" s="1" t="s">
        <v>281</v>
      </c>
      <c r="B78" s="1" t="s">
        <v>244</v>
      </c>
      <c r="C78" s="2">
        <v>2.4700000000000002</v>
      </c>
      <c r="D78" s="29">
        <f t="shared" si="1"/>
        <v>2.8580369999999999</v>
      </c>
      <c r="E78" s="22">
        <v>285.81</v>
      </c>
    </row>
    <row r="79" spans="1:5" x14ac:dyDescent="0.25">
      <c r="A79" s="1" t="s">
        <v>331</v>
      </c>
      <c r="B79" s="1" t="s">
        <v>37</v>
      </c>
      <c r="C79" s="2">
        <v>1.38</v>
      </c>
      <c r="D79" s="29">
        <f t="shared" si="1"/>
        <v>1.5967979999999997</v>
      </c>
      <c r="E79" s="22">
        <v>159.68</v>
      </c>
    </row>
    <row r="80" spans="1:5" x14ac:dyDescent="0.25">
      <c r="A80" s="1" t="s">
        <v>220</v>
      </c>
      <c r="B80" s="1" t="s">
        <v>46</v>
      </c>
      <c r="C80" s="2">
        <v>0.62</v>
      </c>
      <c r="D80" s="29">
        <f t="shared" si="1"/>
        <v>0.71740199999999998</v>
      </c>
      <c r="E80" s="22">
        <v>71.739999999999995</v>
      </c>
    </row>
    <row r="81" spans="1:5" x14ac:dyDescent="0.25">
      <c r="A81" s="1" t="s">
        <v>332</v>
      </c>
      <c r="B81" s="1" t="s">
        <v>45</v>
      </c>
      <c r="C81" s="2">
        <v>0.39</v>
      </c>
      <c r="D81" s="29">
        <f t="shared" si="1"/>
        <v>0.45126899999999998</v>
      </c>
      <c r="E81" s="22">
        <v>45.13</v>
      </c>
    </row>
    <row r="82" spans="1:5" x14ac:dyDescent="0.25">
      <c r="A82" s="1" t="s">
        <v>333</v>
      </c>
      <c r="B82" s="1" t="s">
        <v>28</v>
      </c>
      <c r="C82" s="2">
        <v>1.47</v>
      </c>
      <c r="D82" s="29">
        <f t="shared" si="1"/>
        <v>1.7009369999999999</v>
      </c>
      <c r="E82" s="22">
        <v>170.1</v>
      </c>
    </row>
    <row r="83" spans="1:5" x14ac:dyDescent="0.25">
      <c r="A83" s="1" t="s">
        <v>221</v>
      </c>
      <c r="B83" s="1" t="s">
        <v>36</v>
      </c>
      <c r="C83" s="2">
        <v>0.34</v>
      </c>
      <c r="D83" s="29">
        <f t="shared" si="1"/>
        <v>0.39341399999999999</v>
      </c>
      <c r="E83" s="22">
        <v>39.340000000000003</v>
      </c>
    </row>
    <row r="84" spans="1:5" x14ac:dyDescent="0.25">
      <c r="A84" s="1" t="s">
        <v>282</v>
      </c>
      <c r="B84" s="1" t="s">
        <v>243</v>
      </c>
      <c r="C84" s="2">
        <v>0.66</v>
      </c>
      <c r="D84" s="29">
        <f t="shared" si="1"/>
        <v>0.76368599999999998</v>
      </c>
      <c r="E84" s="22">
        <v>76.37</v>
      </c>
    </row>
    <row r="85" spans="1:5" x14ac:dyDescent="0.25">
      <c r="A85" s="1" t="s">
        <v>334</v>
      </c>
      <c r="B85" s="1" t="s">
        <v>41</v>
      </c>
      <c r="C85" s="2">
        <v>1.27</v>
      </c>
      <c r="D85" s="29">
        <f t="shared" si="1"/>
        <v>1.469517</v>
      </c>
      <c r="E85" s="22">
        <v>146.94999999999999</v>
      </c>
    </row>
    <row r="86" spans="1:5" x14ac:dyDescent="0.25">
      <c r="A86" s="1" t="s">
        <v>283</v>
      </c>
      <c r="B86" s="1" t="s">
        <v>242</v>
      </c>
      <c r="C86" s="2">
        <v>1.47</v>
      </c>
      <c r="D86" s="29">
        <f t="shared" si="1"/>
        <v>1.7009369999999999</v>
      </c>
      <c r="E86" s="22">
        <v>170.1</v>
      </c>
    </row>
    <row r="87" spans="1:5" x14ac:dyDescent="0.25">
      <c r="A87" s="1" t="s">
        <v>222</v>
      </c>
      <c r="B87" s="1" t="s">
        <v>34</v>
      </c>
      <c r="C87" s="2">
        <v>0</v>
      </c>
      <c r="D87" s="29">
        <f t="shared" si="1"/>
        <v>0</v>
      </c>
      <c r="E87" s="22">
        <v>0</v>
      </c>
    </row>
    <row r="88" spans="1:5" s="6" customFormat="1" x14ac:dyDescent="0.25">
      <c r="A88" s="1" t="s">
        <v>284</v>
      </c>
      <c r="B88" s="1" t="s">
        <v>241</v>
      </c>
      <c r="C88" s="2">
        <v>0</v>
      </c>
      <c r="D88" s="29">
        <f t="shared" si="1"/>
        <v>0</v>
      </c>
      <c r="E88" s="22">
        <v>0</v>
      </c>
    </row>
    <row r="89" spans="1:5" x14ac:dyDescent="0.25">
      <c r="A89" s="1"/>
      <c r="B89" s="1"/>
      <c r="C89" s="2"/>
      <c r="D89" s="29"/>
      <c r="E89" s="22"/>
    </row>
    <row r="90" spans="1:5" x14ac:dyDescent="0.25">
      <c r="A90" s="24"/>
      <c r="B90" s="24"/>
      <c r="C90" s="30"/>
      <c r="D90" s="31"/>
      <c r="E90" s="25" t="e">
        <f>D90*#REF!</f>
        <v>#REF!</v>
      </c>
    </row>
    <row r="91" spans="1:5" x14ac:dyDescent="0.25">
      <c r="A91" s="24"/>
      <c r="B91" s="24"/>
      <c r="C91" s="30"/>
      <c r="D91" s="31"/>
      <c r="E91" s="25" t="e">
        <f>D91*#REF!</f>
        <v>#REF!</v>
      </c>
    </row>
    <row r="92" spans="1:5" x14ac:dyDescent="0.25">
      <c r="A92" s="32" t="s">
        <v>107</v>
      </c>
      <c r="B92" s="33"/>
      <c r="C92" s="34"/>
      <c r="D92" s="34"/>
      <c r="E92" s="35"/>
    </row>
    <row r="93" spans="1:5" ht="20.25" x14ac:dyDescent="0.25">
      <c r="A93" s="36" t="s">
        <v>108</v>
      </c>
      <c r="B93" s="37"/>
      <c r="C93" s="38"/>
      <c r="D93" s="38"/>
      <c r="E93" s="39"/>
    </row>
  </sheetData>
  <mergeCells count="2">
    <mergeCell ref="A2:E2"/>
    <mergeCell ref="A3:E3"/>
  </mergeCells>
  <hyperlinks>
    <hyperlink ref="F6" r:id="rId1" display="https://health.mil/Military-Health-Topics/Access-Cost-Quality-and-Safety/Uniform-Business-Office/UBO-Rates-Overview/MHS-UBO-Rates" xr:uid="{63214122-7AEF-44E3-9A86-5245C4BADA2D}"/>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D0349-3075-41B3-9A17-E551650A7E88}">
  <sheetPr codeName="Sheet4">
    <tabColor rgb="FFFFFF00"/>
  </sheetPr>
  <dimension ref="A1:AF178"/>
  <sheetViews>
    <sheetView topLeftCell="A152" zoomScaleNormal="100" workbookViewId="0">
      <pane xSplit="2" topLeftCell="X1" activePane="topRight" state="frozen"/>
      <selection activeCell="AD177" sqref="AD177"/>
      <selection pane="topRight" activeCell="AF174" sqref="AF174"/>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7109375" bestFit="1" customWidth="1"/>
  </cols>
  <sheetData>
    <row r="1" spans="1:32" x14ac:dyDescent="0.25">
      <c r="A1" s="182" t="s">
        <v>143</v>
      </c>
      <c r="B1" s="196">
        <v>45806</v>
      </c>
      <c r="C1" s="13"/>
      <c r="D1" s="13"/>
      <c r="E1" s="13"/>
      <c r="F1" s="13"/>
      <c r="G1" s="13"/>
      <c r="H1" s="203"/>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t="s">
        <v>339</v>
      </c>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t="s">
        <v>340</v>
      </c>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AE170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AE172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AE174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SUM(W95:W176)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f>
        <v>0</v>
      </c>
      <c r="AE178" s="86">
        <f>Z94</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E229CCC-4656-4DB5-9DBD-65228FF7E8AD}">
          <x14:formula1>
            <xm:f>ProjectDetails!B12:B18</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8591-228D-424F-BEF4-15F264AB89CE}">
  <sheetPr codeName="Sheet5">
    <tabColor rgb="FFFFFF00"/>
  </sheetPr>
  <dimension ref="A1:AF178"/>
  <sheetViews>
    <sheetView topLeftCell="A146" zoomScaleNormal="100" workbookViewId="0">
      <pane xSplit="2" topLeftCell="AA1" activePane="topRight" state="frozen"/>
      <selection activeCell="AD177" sqref="AD177"/>
      <selection pane="topRight" activeCell="AF174" sqref="AF174"/>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t="s">
        <v>339</v>
      </c>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t="s">
        <v>340</v>
      </c>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SUM(AE170,'Day1'!AF170)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SUM(AE172,'Day1'!AF172)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SUM(AE174,'Day1'!AF174)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Z177+'Day1'!AE176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SUM(W95:W176)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AD177+'Day1'!AD177</f>
        <v>0</v>
      </c>
      <c r="AE178" s="86">
        <f>Z94+'Day1'!AE178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D195F33-47D5-4433-ABF4-1EC975EC4FE6}">
          <x14:formula1>
            <xm:f>ProjectDetails!B12:B18</xm:f>
          </x14:formula1>
          <xm:sqref>B4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018F-76B6-4BC9-A01F-191175F63809}">
  <sheetPr codeName="Sheet6">
    <tabColor rgb="FFFFFF00"/>
  </sheetPr>
  <dimension ref="A1:AF178"/>
  <sheetViews>
    <sheetView topLeftCell="A155" zoomScaleNormal="100" workbookViewId="0">
      <pane xSplit="2" topLeftCell="Y1" activePane="topRight" state="frozen"/>
      <selection activeCell="AD177" sqref="AD177"/>
      <selection pane="topRight" activeCell="AF174" sqref="AF174"/>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v>45806</v>
      </c>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t="s">
        <v>339</v>
      </c>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t="s">
        <v>340</v>
      </c>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6"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SUM(AE170,'Day2'!AF170)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SUM(AE172,'Day2'!AF172)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SUM(AE174,'Day2'!AF174)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c r="AA176" s="99">
        <f>VLOOKUP(B176,SourceValues!$B$6:$E$88,2,FALSE)</f>
        <v>0</v>
      </c>
      <c r="AB176" s="99">
        <f>VLOOKUP(B176,SourceValues!$B$6:$E$88,3,FALSE)</f>
        <v>0</v>
      </c>
      <c r="AC176" s="99">
        <f>VLOOKUP(B176,SourceValues!$B$6:$E$88,4,FALSE)</f>
        <v>0</v>
      </c>
      <c r="AD176" s="132">
        <f t="shared" si="12"/>
        <v>0</v>
      </c>
      <c r="AE176" s="86">
        <f>Z177+'Day2'!AE176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SUM(W95:W156)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AD177+'Day2'!AD178</f>
        <v>0</v>
      </c>
      <c r="AE178" s="86">
        <f>Z94+'Day2'!AE178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9AC0EF3-7DAE-4735-8A0E-18E1843FB480}">
          <x14:formula1>
            <xm:f>ProjectDetails!B12:B18</xm:f>
          </x14:formula1>
          <xm:sqref>B4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00941-AF61-4C60-B17F-930367EC360A}">
  <sheetPr codeName="Sheet7">
    <tabColor rgb="FFFFFF00"/>
  </sheetPr>
  <dimension ref="A1:AF178"/>
  <sheetViews>
    <sheetView topLeftCell="A152" zoomScaleNormal="100" workbookViewId="0">
      <pane xSplit="2" topLeftCell="AD1" activePane="topRight" state="frozen"/>
      <selection activeCell="AD177" sqref="AD177"/>
      <selection pane="topRight" activeCell="AF170" sqref="AF170"/>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v>45806</v>
      </c>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SUM(AE170,'Day3'!AF170)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SUM(AE172,'Day3'!AF172)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SUM(AE174,'Day3'!AF174)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Z177+'Day3'!AE176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SUM(W95:W156)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AD177+'Day3'!AD178</f>
        <v>0</v>
      </c>
      <c r="AE178" s="86">
        <f>Z94+'Day3'!AE178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331BB76-1A8D-46E6-85BA-854A2837E803}">
          <x14:formula1>
            <xm:f>ProjectDetails!B12:B18</xm:f>
          </x14:formula1>
          <xm:sqref>B4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E845-0512-4DC5-BC60-227527141DB8}">
  <sheetPr codeName="Sheet14">
    <tabColor rgb="FFFFFF00"/>
  </sheetPr>
  <dimension ref="A1:AF178"/>
  <sheetViews>
    <sheetView topLeftCell="A146" zoomScaleNormal="100" workbookViewId="0">
      <pane xSplit="2" topLeftCell="AE1" activePane="topRight" state="frozen"/>
      <selection activeCell="AD177" sqref="AD177"/>
      <selection pane="topRight" activeCell="AF170" sqref="AF170"/>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SUM(AE170,'Day4'!AF170)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SUM(AE172,'Day4'!AF172)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SUM(AE174,'Day4'!AF174)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Z177+'Day4'!AE176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SUM(W95:W176)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AD177+'Day4'!AD178</f>
        <v>0</v>
      </c>
      <c r="AE178" s="86">
        <f>Z94+'Day4'!AE178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7E573CA-300D-4B06-8515-7EFBF52C1456}">
          <x14:formula1>
            <xm:f>ProjectDetails!B12:B18</xm:f>
          </x14:formula1>
          <xm:sqref>B4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6673-E5AC-46F3-B0FD-987B580D1C17}">
  <sheetPr codeName="Sheet15">
    <tabColor rgb="FFFFFF00"/>
  </sheetPr>
  <dimension ref="A1:AF178"/>
  <sheetViews>
    <sheetView topLeftCell="A152" zoomScaleNormal="100" workbookViewId="0">
      <pane xSplit="2" topLeftCell="X1" activePane="topRight" state="frozen"/>
      <selection activeCell="AD177" sqref="AD177"/>
      <selection pane="topRight" activeCell="AF170" sqref="AF170"/>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SUM(AE170,'Day5'!AF170)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SUM(AE172,'Day5'!AF172)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SUM(AE174,'Day5'!AF174)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Z177+'Day5'!AE176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SUM(W95:W176)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AD177+'Day5'!AD178</f>
        <v>0</v>
      </c>
      <c r="AE178" s="86">
        <f>Z94+'Day5'!AE178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F38331B-BB36-4329-9535-44CB1363D050}">
          <x14:formula1>
            <xm:f>ProjectDetails!B12:B18</xm:f>
          </x14:formula1>
          <xm:sqref>B4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624D-B592-4A2C-A944-DA4942135632}">
  <sheetPr codeName="Sheet16">
    <tabColor rgb="FFFFFF00"/>
  </sheetPr>
  <dimension ref="A1:AF178"/>
  <sheetViews>
    <sheetView topLeftCell="A152" zoomScaleNormal="100" workbookViewId="0">
      <pane xSplit="2" topLeftCell="X1" activePane="topRight" state="frozen"/>
      <selection activeCell="AD177" sqref="AD177"/>
      <selection pane="topRight" activeCell="AF170" sqref="AF170"/>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SUM(AE170,'Day6'!AF170)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SUM(AE172,'Day6'!AF172)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SUM(AE174,'Day6'!AF174)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Z177+'Day6'!AE176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SUM(W95:W176)</f>
        <v>0</v>
      </c>
      <c r="X177" s="76">
        <f>SUM(X95:X176)</f>
        <v>0</v>
      </c>
      <c r="Y177" s="76">
        <f>SUM(Y95:Y156)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AD177+'Day6'!AD178</f>
        <v>0</v>
      </c>
      <c r="AE178" s="86">
        <f>Z94+'Day6'!AE178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62C9B21-738D-4EC8-8DCF-78C1983321EC}">
          <x14:formula1>
            <xm:f>ProjectDetails!B12:B18</xm:f>
          </x14:formula1>
          <xm:sqref>B4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9D26-0F49-4706-A561-7B75BCAD345C}">
  <sheetPr codeName="Sheet17">
    <tabColor rgb="FFFFFF00"/>
  </sheetPr>
  <dimension ref="A1:AF178"/>
  <sheetViews>
    <sheetView topLeftCell="A152" zoomScale="85" zoomScaleNormal="85" workbookViewId="0">
      <pane xSplit="2" topLeftCell="X1" activePane="topRight" state="frozen"/>
      <selection activeCell="AD177" sqref="AD177"/>
      <selection pane="topRight" activeCell="AF170" sqref="AF170"/>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SUM(AE170,'Day7'!AF170)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SUM(AE172,'Day7'!AF172)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SUM(AE174,'Day7'!AF174)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Z177+'Day7'!AE176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SUM(W95:W176)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AD177+'Day7'!AD178</f>
        <v>0</v>
      </c>
      <c r="AE178" s="86">
        <f>Z94+'Day7'!AE178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245A71E-5A64-473F-AE81-004501BE4164}">
          <x14:formula1>
            <xm:f>ProjectDetails!B12:B18</xm:f>
          </x14:formula1>
          <xm:sqref>B4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DD57-C259-4E72-BE0C-AD882DEF48FC}">
  <sheetPr codeName="Sheet18">
    <tabColor rgb="FFFFFF00"/>
  </sheetPr>
  <dimension ref="A1:AF178"/>
  <sheetViews>
    <sheetView topLeftCell="A146" zoomScaleNormal="100" workbookViewId="0">
      <pane xSplit="2" topLeftCell="X1" activePane="topRight" state="frozen"/>
      <selection activeCell="AD177" sqref="AD177"/>
      <selection pane="topRight" activeCell="AF170" sqref="AF170"/>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SUM(AE170,'Day8'!AF170)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SUM(AE172,'Day8'!AF172)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SUM(AE174,'Day8'!AF174)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Z177+'Day8'!AE176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SUM(W95:W176)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AD177+'Day8'!AD178</f>
        <v>0</v>
      </c>
      <c r="AE178" s="86">
        <f>Z94+'Day8'!AE178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15BAB0B-9F33-481D-BCB2-3299D84C093A}">
          <x14:formula1>
            <xm:f>ProjectDetails!B12:B18</xm:f>
          </x14:formula1>
          <xm:sqref>B4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75C2-6151-4294-AC0C-401543FEC931}">
  <sheetPr codeName="Sheet19">
    <tabColor rgb="FFFFFF00"/>
  </sheetPr>
  <dimension ref="A1:AF178"/>
  <sheetViews>
    <sheetView topLeftCell="A152" zoomScaleNormal="100" workbookViewId="0">
      <pane xSplit="2" topLeftCell="AF1" activePane="topRight" state="frozen"/>
      <selection activeCell="AD177" sqref="AD177"/>
      <selection pane="topRight" activeCell="AF170" sqref="AF170"/>
    </sheetView>
  </sheetViews>
  <sheetFormatPr defaultColWidth="15.140625" defaultRowHeight="15" x14ac:dyDescent="0.25"/>
  <cols>
    <col min="1" max="1" width="56.28515625" bestFit="1" customWidth="1"/>
    <col min="2" max="2" width="9.5703125" customWidth="1"/>
    <col min="3" max="22" width="15" customWidth="1"/>
    <col min="23" max="24" width="9.7109375" style="88" customWidth="1"/>
    <col min="25" max="25" width="10" style="88" customWidth="1"/>
    <col min="26" max="26" width="20.7109375" style="88" customWidth="1"/>
    <col min="27" max="28" width="15.28515625" style="40" customWidth="1"/>
    <col min="29" max="29" width="15.42578125" style="41" customWidth="1"/>
    <col min="30" max="30" width="13.140625" style="89" customWidth="1"/>
    <col min="31" max="31" width="22.42578125" bestFit="1" customWidth="1"/>
    <col min="32" max="32" width="23.28515625" bestFit="1" customWidth="1"/>
  </cols>
  <sheetData>
    <row r="1" spans="1:32" x14ac:dyDescent="0.25">
      <c r="A1" s="182" t="s">
        <v>143</v>
      </c>
      <c r="B1" s="196">
        <v>45806</v>
      </c>
      <c r="C1" s="13"/>
      <c r="D1" s="13"/>
      <c r="E1" s="13"/>
      <c r="F1" s="13"/>
      <c r="G1" s="13"/>
      <c r="H1" s="203"/>
      <c r="I1" s="13"/>
      <c r="J1" s="13"/>
      <c r="K1" s="13"/>
      <c r="L1" s="13"/>
      <c r="M1" s="13"/>
      <c r="N1" s="13"/>
      <c r="O1" s="13"/>
      <c r="P1" s="13"/>
      <c r="Q1" s="13"/>
      <c r="R1" s="13"/>
      <c r="S1" s="13"/>
      <c r="T1" s="13"/>
      <c r="U1" s="13"/>
      <c r="V1" s="13"/>
      <c r="W1" s="13"/>
      <c r="X1" s="13"/>
      <c r="Y1" s="13"/>
      <c r="Z1" s="13"/>
      <c r="AA1" s="15"/>
      <c r="AB1" s="15"/>
      <c r="AC1" s="16"/>
      <c r="AD1" s="14"/>
    </row>
    <row r="2" spans="1:32" x14ac:dyDescent="0.25">
      <c r="A2" s="183" t="s">
        <v>96</v>
      </c>
      <c r="B2" s="204"/>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row>
    <row r="3" spans="1:32" x14ac:dyDescent="0.25">
      <c r="A3" s="114" t="s">
        <v>141</v>
      </c>
      <c r="B3" s="184" t="s">
        <v>240</v>
      </c>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row>
    <row r="4" spans="1:32" x14ac:dyDescent="0.25">
      <c r="A4" s="114" t="s">
        <v>142</v>
      </c>
      <c r="B4" s="184"/>
      <c r="C4" s="181"/>
      <c r="D4" s="45"/>
      <c r="E4" s="45"/>
      <c r="F4" s="45"/>
      <c r="G4" s="45"/>
      <c r="H4" s="45"/>
      <c r="I4" s="45"/>
      <c r="J4" s="45"/>
      <c r="K4" s="45"/>
      <c r="L4" s="45"/>
      <c r="M4" s="45"/>
      <c r="N4" s="45"/>
      <c r="O4" s="45"/>
      <c r="P4" s="45"/>
      <c r="Q4" s="45"/>
      <c r="R4" s="45"/>
      <c r="S4" s="45"/>
      <c r="T4" s="45"/>
      <c r="U4" s="45"/>
      <c r="V4" s="45"/>
      <c r="W4" s="46" t="s">
        <v>121</v>
      </c>
      <c r="X4" s="47"/>
      <c r="Y4" s="48">
        <f>Z178</f>
        <v>0</v>
      </c>
      <c r="Z4" s="49"/>
      <c r="AA4" s="50"/>
      <c r="AB4" s="51"/>
      <c r="AC4" s="52" t="s">
        <v>336</v>
      </c>
      <c r="AD4" s="54">
        <f>SourceValues!E5</f>
        <v>115.71</v>
      </c>
    </row>
    <row r="5" spans="1:32" s="18" customFormat="1" ht="25.5" x14ac:dyDescent="0.25">
      <c r="A5" s="18" t="s">
        <v>100</v>
      </c>
      <c r="B5" s="18" t="s">
        <v>101</v>
      </c>
      <c r="C5" s="18" t="s">
        <v>138</v>
      </c>
      <c r="D5" s="18" t="s">
        <v>138</v>
      </c>
      <c r="E5" s="18" t="s">
        <v>138</v>
      </c>
      <c r="F5" s="18" t="s">
        <v>138</v>
      </c>
      <c r="G5" s="18" t="s">
        <v>138</v>
      </c>
      <c r="H5" s="18" t="s">
        <v>138</v>
      </c>
      <c r="I5" s="18" t="s">
        <v>138</v>
      </c>
      <c r="J5" s="18" t="s">
        <v>138</v>
      </c>
      <c r="K5" s="18" t="s">
        <v>138</v>
      </c>
      <c r="L5" s="18" t="s">
        <v>138</v>
      </c>
      <c r="M5" s="18" t="s">
        <v>138</v>
      </c>
      <c r="N5" s="18" t="s">
        <v>138</v>
      </c>
      <c r="O5" s="18" t="s">
        <v>138</v>
      </c>
      <c r="P5" s="18" t="s">
        <v>138</v>
      </c>
      <c r="Q5" s="18" t="s">
        <v>138</v>
      </c>
      <c r="R5" s="18" t="s">
        <v>138</v>
      </c>
      <c r="S5" s="18" t="s">
        <v>138</v>
      </c>
      <c r="T5" s="18" t="s">
        <v>138</v>
      </c>
      <c r="U5" s="18" t="s">
        <v>138</v>
      </c>
      <c r="V5" s="18" t="s">
        <v>138</v>
      </c>
      <c r="W5" s="55" t="str">
        <f>ProjectDetails!B35</f>
        <v>USNR</v>
      </c>
      <c r="X5" s="56" t="str">
        <f>ProjectDetails!B36</f>
        <v>AFRC</v>
      </c>
      <c r="Y5" s="57" t="s">
        <v>224</v>
      </c>
      <c r="Z5" s="58" t="s">
        <v>122</v>
      </c>
      <c r="AA5" s="59" t="s">
        <v>102</v>
      </c>
      <c r="AB5" s="59" t="s">
        <v>103</v>
      </c>
      <c r="AC5" s="60" t="s">
        <v>104</v>
      </c>
      <c r="AD5" s="57" t="s">
        <v>123</v>
      </c>
    </row>
    <row r="6" spans="1:32" s="21" customFormat="1" hidden="1" x14ac:dyDescent="0.25">
      <c r="A6" s="61" t="s">
        <v>105</v>
      </c>
      <c r="B6" s="62"/>
      <c r="C6" s="90"/>
      <c r="D6" s="90"/>
      <c r="E6" s="90"/>
      <c r="F6" s="90"/>
      <c r="G6" s="90"/>
      <c r="H6" s="90"/>
      <c r="I6" s="90"/>
      <c r="J6" s="90"/>
      <c r="K6" s="90"/>
      <c r="L6" s="90"/>
      <c r="M6" s="90"/>
      <c r="N6" s="90"/>
      <c r="O6" s="90"/>
      <c r="P6" s="90"/>
      <c r="Q6" s="90"/>
      <c r="R6" s="90"/>
      <c r="S6" s="90"/>
      <c r="T6" s="90"/>
      <c r="U6" s="90"/>
      <c r="V6" s="90"/>
      <c r="W6" s="63"/>
      <c r="X6" s="63"/>
      <c r="Y6" s="63"/>
      <c r="Z6" s="64"/>
      <c r="AA6" s="65"/>
      <c r="AB6" s="65"/>
      <c r="AC6" s="66"/>
      <c r="AD6" s="67"/>
    </row>
    <row r="7" spans="1:32" hidden="1" x14ac:dyDescent="0.25">
      <c r="A7" s="68" t="str">
        <f>[1]SourceValues!A7</f>
        <v>Outpt visit - prob focused - physician - 20 min</v>
      </c>
      <c r="B7" s="26">
        <f>[1]SourceValues!B7</f>
        <v>99202</v>
      </c>
      <c r="C7" s="91"/>
      <c r="D7" s="91"/>
      <c r="E7" s="91"/>
      <c r="F7" s="91"/>
      <c r="G7" s="91"/>
      <c r="H7" s="91"/>
      <c r="I7" s="91"/>
      <c r="J7" s="91"/>
      <c r="K7" s="91"/>
      <c r="L7" s="91"/>
      <c r="M7" s="91"/>
      <c r="N7" s="91"/>
      <c r="O7" s="91"/>
      <c r="P7" s="91"/>
      <c r="Q7" s="91"/>
      <c r="R7" s="91"/>
      <c r="S7" s="91"/>
      <c r="T7" s="91"/>
      <c r="U7" s="91"/>
      <c r="V7" s="91"/>
      <c r="W7" s="69"/>
      <c r="X7" s="69"/>
      <c r="Y7" s="69"/>
      <c r="Z7" s="70">
        <f t="shared" ref="Z7:Z56" si="0">SUM(W7:Y7)</f>
        <v>0</v>
      </c>
      <c r="AA7" s="71">
        <f>[1]SourceValues!C7</f>
        <v>0.93</v>
      </c>
      <c r="AB7" s="71">
        <f>[1]SourceValues!D7</f>
        <v>2.14</v>
      </c>
      <c r="AC7" s="72">
        <f>[1]SourceValues!E7</f>
        <v>69.357399999999998</v>
      </c>
      <c r="AD7" s="73"/>
    </row>
    <row r="8" spans="1:32" hidden="1" x14ac:dyDescent="0.25">
      <c r="A8" s="68" t="str">
        <f>[1]SourceValues!A8</f>
        <v>Outpt visit - prob focused - physician - 30 min</v>
      </c>
      <c r="B8" s="26">
        <f>[1]SourceValues!B8</f>
        <v>99203</v>
      </c>
      <c r="C8" s="91"/>
      <c r="D8" s="91"/>
      <c r="E8" s="91"/>
      <c r="F8" s="91"/>
      <c r="G8" s="91"/>
      <c r="H8" s="91"/>
      <c r="I8" s="91"/>
      <c r="J8" s="91"/>
      <c r="K8" s="91"/>
      <c r="L8" s="91"/>
      <c r="M8" s="91"/>
      <c r="N8" s="91"/>
      <c r="O8" s="91"/>
      <c r="P8" s="91"/>
      <c r="Q8" s="91"/>
      <c r="R8" s="91"/>
      <c r="S8" s="91"/>
      <c r="T8" s="91"/>
      <c r="U8" s="91"/>
      <c r="V8" s="91"/>
      <c r="W8" s="69"/>
      <c r="X8" s="69"/>
      <c r="Y8" s="69"/>
      <c r="Z8" s="70">
        <f t="shared" si="0"/>
        <v>0</v>
      </c>
      <c r="AA8" s="71">
        <f>[1]SourceValues!C8</f>
        <v>1.42</v>
      </c>
      <c r="AB8" s="71">
        <f>[1]SourceValues!D8</f>
        <v>3.03</v>
      </c>
      <c r="AC8" s="72">
        <f>[1]SourceValues!E8</f>
        <v>98.20229999999998</v>
      </c>
      <c r="AD8" s="73"/>
      <c r="AF8" s="23"/>
    </row>
    <row r="9" spans="1:32" hidden="1" x14ac:dyDescent="0.25">
      <c r="A9" s="68" t="str">
        <f>[1]SourceValues!A9</f>
        <v>Outpt visit - prob focused - physician - 45 min</v>
      </c>
      <c r="B9" s="26">
        <f>[1]SourceValues!B9</f>
        <v>99204</v>
      </c>
      <c r="C9" s="91"/>
      <c r="D9" s="91"/>
      <c r="E9" s="91"/>
      <c r="F9" s="91"/>
      <c r="G9" s="91"/>
      <c r="H9" s="91"/>
      <c r="I9" s="91"/>
      <c r="J9" s="91"/>
      <c r="K9" s="91"/>
      <c r="L9" s="91"/>
      <c r="M9" s="91"/>
      <c r="N9" s="91"/>
      <c r="O9" s="91"/>
      <c r="P9" s="91"/>
      <c r="Q9" s="91"/>
      <c r="R9" s="91"/>
      <c r="S9" s="91"/>
      <c r="T9" s="91"/>
      <c r="U9" s="91"/>
      <c r="V9" s="91"/>
      <c r="W9" s="69"/>
      <c r="X9" s="69"/>
      <c r="Y9" s="69"/>
      <c r="Z9" s="70">
        <f t="shared" si="0"/>
        <v>0</v>
      </c>
      <c r="AA9" s="71">
        <f>[1]SourceValues!C9</f>
        <v>2.4300000000000002</v>
      </c>
      <c r="AB9" s="71">
        <f>[1]SourceValues!D9</f>
        <v>4.63</v>
      </c>
      <c r="AC9" s="72">
        <f>[1]SourceValues!E9</f>
        <v>150.05829999999997</v>
      </c>
      <c r="AD9" s="73"/>
    </row>
    <row r="10" spans="1:32" hidden="1" x14ac:dyDescent="0.25">
      <c r="A10" s="68" t="str">
        <f>[1]SourceValues!A10</f>
        <v>Cerumen evacuation</v>
      </c>
      <c r="B10" s="26">
        <f>[1]SourceValues!B10</f>
        <v>69210</v>
      </c>
      <c r="C10" s="91"/>
      <c r="D10" s="91"/>
      <c r="E10" s="91"/>
      <c r="F10" s="91"/>
      <c r="G10" s="91"/>
      <c r="H10" s="91"/>
      <c r="I10" s="91"/>
      <c r="J10" s="91"/>
      <c r="K10" s="91"/>
      <c r="L10" s="91"/>
      <c r="M10" s="91"/>
      <c r="N10" s="91"/>
      <c r="O10" s="91"/>
      <c r="P10" s="91"/>
      <c r="Q10" s="91"/>
      <c r="R10" s="91"/>
      <c r="S10" s="91"/>
      <c r="T10" s="91"/>
      <c r="U10" s="91"/>
      <c r="V10" s="91"/>
      <c r="W10" s="69"/>
      <c r="X10" s="69"/>
      <c r="Y10" s="69"/>
      <c r="Z10" s="70">
        <f t="shared" si="0"/>
        <v>0</v>
      </c>
      <c r="AA10" s="71">
        <f>[1]SourceValues!C10</f>
        <v>0.61</v>
      </c>
      <c r="AB10" s="71">
        <f>[1]SourceValues!D10</f>
        <v>1.36</v>
      </c>
      <c r="AC10" s="72">
        <f>[1]SourceValues!E10</f>
        <v>44.077599999999997</v>
      </c>
      <c r="AD10" s="73"/>
    </row>
    <row r="11" spans="1:32" hidden="1" x14ac:dyDescent="0.25">
      <c r="A11" s="68" t="str">
        <f>[1]SourceValues!A11</f>
        <v>Counseling, prev med , 15 min</v>
      </c>
      <c r="B11" s="26">
        <f>[1]SourceValues!B11</f>
        <v>99401</v>
      </c>
      <c r="C11" s="91"/>
      <c r="D11" s="91"/>
      <c r="E11" s="91"/>
      <c r="F11" s="91"/>
      <c r="G11" s="91"/>
      <c r="H11" s="91"/>
      <c r="I11" s="91"/>
      <c r="J11" s="91"/>
      <c r="K11" s="91"/>
      <c r="L11" s="91"/>
      <c r="M11" s="91"/>
      <c r="N11" s="91"/>
      <c r="O11" s="91"/>
      <c r="P11" s="91"/>
      <c r="Q11" s="91"/>
      <c r="R11" s="91"/>
      <c r="S11" s="91"/>
      <c r="T11" s="91"/>
      <c r="U11" s="91"/>
      <c r="V11" s="91"/>
      <c r="W11" s="69"/>
      <c r="X11" s="69"/>
      <c r="Y11" s="69"/>
      <c r="Z11" s="70">
        <f t="shared" si="0"/>
        <v>0</v>
      </c>
      <c r="AA11" s="71">
        <f>[1]SourceValues!C11</f>
        <v>0.48</v>
      </c>
      <c r="AB11" s="71">
        <f>[1]SourceValues!D11</f>
        <v>1.1200000000000001</v>
      </c>
      <c r="AC11" s="72">
        <f>[1]SourceValues!E11</f>
        <v>36.299199999999999</v>
      </c>
      <c r="AD11" s="73"/>
    </row>
    <row r="12" spans="1:32" hidden="1" x14ac:dyDescent="0.25">
      <c r="A12" s="68" t="str">
        <f>[1]SourceValues!A12</f>
        <v>Counseling, prev med, 30 min</v>
      </c>
      <c r="B12" s="26">
        <f>[1]SourceValues!B12</f>
        <v>99402</v>
      </c>
      <c r="C12" s="91"/>
      <c r="D12" s="91"/>
      <c r="E12" s="91"/>
      <c r="F12" s="91"/>
      <c r="G12" s="91"/>
      <c r="H12" s="91"/>
      <c r="I12" s="91"/>
      <c r="J12" s="91"/>
      <c r="K12" s="91"/>
      <c r="L12" s="91"/>
      <c r="M12" s="91"/>
      <c r="N12" s="91"/>
      <c r="O12" s="91"/>
      <c r="P12" s="91"/>
      <c r="Q12" s="91"/>
      <c r="R12" s="91"/>
      <c r="S12" s="91"/>
      <c r="T12" s="91"/>
      <c r="U12" s="91"/>
      <c r="V12" s="91"/>
      <c r="W12" s="69"/>
      <c r="X12" s="69"/>
      <c r="Y12" s="69"/>
      <c r="Z12" s="70">
        <f t="shared" si="0"/>
        <v>0</v>
      </c>
      <c r="AA12" s="71">
        <f>[1]SourceValues!C12</f>
        <v>0.98</v>
      </c>
      <c r="AB12" s="71">
        <f>[1]SourceValues!D12</f>
        <v>1.85</v>
      </c>
      <c r="AC12" s="72">
        <f>[1]SourceValues!E12</f>
        <v>59.958499999999994</v>
      </c>
      <c r="AD12" s="73"/>
    </row>
    <row r="13" spans="1:32" hidden="1" x14ac:dyDescent="0.25">
      <c r="A13" s="68" t="str">
        <f>[1]SourceValues!A13</f>
        <v>Counseling, smoking cessation, &lt; 10 min</v>
      </c>
      <c r="B13" s="26">
        <f>[1]SourceValues!B13</f>
        <v>99406</v>
      </c>
      <c r="C13" s="91"/>
      <c r="D13" s="91"/>
      <c r="E13" s="91"/>
      <c r="F13" s="91"/>
      <c r="G13" s="91"/>
      <c r="H13" s="91"/>
      <c r="I13" s="91"/>
      <c r="J13" s="91"/>
      <c r="K13" s="91"/>
      <c r="L13" s="91"/>
      <c r="M13" s="91"/>
      <c r="N13" s="91"/>
      <c r="O13" s="91"/>
      <c r="P13" s="91"/>
      <c r="Q13" s="91"/>
      <c r="R13" s="91"/>
      <c r="S13" s="91"/>
      <c r="T13" s="91"/>
      <c r="U13" s="91"/>
      <c r="V13" s="91"/>
      <c r="W13" s="69"/>
      <c r="X13" s="69"/>
      <c r="Y13" s="69"/>
      <c r="Z13" s="70">
        <f t="shared" si="0"/>
        <v>0</v>
      </c>
      <c r="AA13" s="71">
        <f>[1]SourceValues!C13</f>
        <v>0.24</v>
      </c>
      <c r="AB13" s="71">
        <f>[1]SourceValues!D13</f>
        <v>0.43</v>
      </c>
      <c r="AC13" s="72">
        <f>[1]SourceValues!E13</f>
        <v>13.936299999999997</v>
      </c>
      <c r="AD13" s="73"/>
    </row>
    <row r="14" spans="1:32" hidden="1" x14ac:dyDescent="0.25">
      <c r="A14" s="68" t="str">
        <f>[1]SourceValues!A14</f>
        <v>Counseling, smoking cessation, &gt; 10 min</v>
      </c>
      <c r="B14" s="26">
        <f>[1]SourceValues!B14</f>
        <v>99407</v>
      </c>
      <c r="C14" s="91"/>
      <c r="D14" s="91"/>
      <c r="E14" s="91"/>
      <c r="F14" s="91"/>
      <c r="G14" s="91"/>
      <c r="H14" s="91"/>
      <c r="I14" s="91"/>
      <c r="J14" s="91"/>
      <c r="K14" s="91"/>
      <c r="L14" s="91"/>
      <c r="M14" s="91"/>
      <c r="N14" s="91"/>
      <c r="O14" s="91"/>
      <c r="P14" s="91"/>
      <c r="Q14" s="91"/>
      <c r="R14" s="91"/>
      <c r="S14" s="91"/>
      <c r="T14" s="91"/>
      <c r="U14" s="91"/>
      <c r="V14" s="91"/>
      <c r="W14" s="69"/>
      <c r="X14" s="69"/>
      <c r="Y14" s="69"/>
      <c r="Z14" s="70">
        <f t="shared" si="0"/>
        <v>0</v>
      </c>
      <c r="AA14" s="71">
        <f>[1]SourceValues!C14</f>
        <v>0.5</v>
      </c>
      <c r="AB14" s="71">
        <f>[1]SourceValues!D14</f>
        <v>0.82</v>
      </c>
      <c r="AC14" s="72">
        <f>[1]SourceValues!E14</f>
        <v>26.576199999999996</v>
      </c>
      <c r="AD14" s="73"/>
    </row>
    <row r="15" spans="1:32" hidden="1" x14ac:dyDescent="0.25">
      <c r="A15" s="68" t="str">
        <f>[1]SourceValues!A15</f>
        <v>Multi-System complaint</v>
      </c>
      <c r="B15" s="26">
        <f>[1]SourceValues!B15</f>
        <v>99214</v>
      </c>
      <c r="C15" s="91"/>
      <c r="D15" s="91"/>
      <c r="E15" s="91"/>
      <c r="F15" s="91"/>
      <c r="G15" s="91"/>
      <c r="H15" s="91"/>
      <c r="I15" s="91"/>
      <c r="J15" s="91"/>
      <c r="K15" s="91"/>
      <c r="L15" s="91"/>
      <c r="M15" s="91"/>
      <c r="N15" s="91"/>
      <c r="O15" s="91"/>
      <c r="P15" s="91"/>
      <c r="Q15" s="91"/>
      <c r="R15" s="91"/>
      <c r="S15" s="91"/>
      <c r="T15" s="91"/>
      <c r="U15" s="91"/>
      <c r="V15" s="91"/>
      <c r="W15" s="69"/>
      <c r="X15" s="69"/>
      <c r="Y15" s="69"/>
      <c r="Z15" s="70">
        <f t="shared" si="0"/>
        <v>0</v>
      </c>
      <c r="AA15" s="71">
        <f>[1]SourceValues!C15</f>
        <v>1.5</v>
      </c>
      <c r="AB15" s="71">
        <f>[1]SourceValues!D15</f>
        <v>3.06</v>
      </c>
      <c r="AC15" s="72">
        <f>[1]SourceValues!E15</f>
        <v>99.174599999999998</v>
      </c>
      <c r="AD15" s="73"/>
    </row>
    <row r="16" spans="1:32" hidden="1" x14ac:dyDescent="0.25">
      <c r="A16" s="68" t="str">
        <f>[1]SourceValues!A16</f>
        <v>Regular office visit</v>
      </c>
      <c r="B16" s="26">
        <f>[1]SourceValues!B16</f>
        <v>99213</v>
      </c>
      <c r="C16" s="91"/>
      <c r="D16" s="91"/>
      <c r="E16" s="91"/>
      <c r="F16" s="91"/>
      <c r="G16" s="91"/>
      <c r="H16" s="91"/>
      <c r="I16" s="91"/>
      <c r="J16" s="91"/>
      <c r="K16" s="91"/>
      <c r="L16" s="91"/>
      <c r="M16" s="91"/>
      <c r="N16" s="91"/>
      <c r="O16" s="91"/>
      <c r="P16" s="91"/>
      <c r="Q16" s="91"/>
      <c r="R16" s="91"/>
      <c r="S16" s="91"/>
      <c r="T16" s="91"/>
      <c r="U16" s="91"/>
      <c r="V16" s="91"/>
      <c r="W16" s="69"/>
      <c r="X16" s="69"/>
      <c r="Y16" s="69"/>
      <c r="Z16" s="70">
        <f t="shared" si="0"/>
        <v>0</v>
      </c>
      <c r="AA16" s="71">
        <f>[1]SourceValues!C16</f>
        <v>0.97</v>
      </c>
      <c r="AB16" s="71">
        <f>[1]SourceValues!D16</f>
        <v>2.09</v>
      </c>
      <c r="AC16" s="72">
        <f>[1]SourceValues!E16</f>
        <v>67.736899999999991</v>
      </c>
      <c r="AD16" s="73"/>
    </row>
    <row r="17" spans="1:30" hidden="1" x14ac:dyDescent="0.25">
      <c r="A17" s="68" t="str">
        <f>[1]SourceValues!A17</f>
        <v>Wellness Visit under 1yr New PT</v>
      </c>
      <c r="B17" s="26">
        <f>[1]SourceValues!B17</f>
        <v>99381</v>
      </c>
      <c r="C17" s="91"/>
      <c r="D17" s="91"/>
      <c r="E17" s="91"/>
      <c r="F17" s="91"/>
      <c r="G17" s="91"/>
      <c r="H17" s="91"/>
      <c r="I17" s="91"/>
      <c r="J17" s="91"/>
      <c r="K17" s="91"/>
      <c r="L17" s="91"/>
      <c r="M17" s="91"/>
      <c r="N17" s="91"/>
      <c r="O17" s="91"/>
      <c r="P17" s="91"/>
      <c r="Q17" s="91"/>
      <c r="R17" s="91"/>
      <c r="S17" s="91"/>
      <c r="T17" s="91"/>
      <c r="U17" s="91"/>
      <c r="V17" s="91"/>
      <c r="W17" s="69"/>
      <c r="X17" s="69"/>
      <c r="Y17" s="69"/>
      <c r="Z17" s="70">
        <f t="shared" si="0"/>
        <v>0</v>
      </c>
      <c r="AA17" s="71">
        <f>[1]SourceValues!C17</f>
        <v>1.5</v>
      </c>
      <c r="AB17" s="71">
        <f>[1]SourceValues!D17</f>
        <v>3.06</v>
      </c>
      <c r="AC17" s="72">
        <f>[1]SourceValues!E17</f>
        <v>99.174599999999998</v>
      </c>
      <c r="AD17" s="73"/>
    </row>
    <row r="18" spans="1:30" hidden="1" x14ac:dyDescent="0.25">
      <c r="A18" s="68" t="str">
        <f>[1]SourceValues!A18</f>
        <v>Wellness Visit 1-4 yrs new PT</v>
      </c>
      <c r="B18" s="26">
        <f>[1]SourceValues!B18</f>
        <v>99382</v>
      </c>
      <c r="C18" s="91"/>
      <c r="D18" s="91"/>
      <c r="E18" s="91"/>
      <c r="F18" s="91"/>
      <c r="G18" s="91"/>
      <c r="H18" s="91"/>
      <c r="I18" s="91"/>
      <c r="J18" s="91"/>
      <c r="K18" s="91"/>
      <c r="L18" s="91"/>
      <c r="M18" s="91"/>
      <c r="N18" s="91"/>
      <c r="O18" s="91"/>
      <c r="P18" s="91"/>
      <c r="Q18" s="91"/>
      <c r="R18" s="91"/>
      <c r="S18" s="91"/>
      <c r="T18" s="91"/>
      <c r="U18" s="91"/>
      <c r="V18" s="91"/>
      <c r="W18" s="69"/>
      <c r="X18" s="69"/>
      <c r="Y18" s="69"/>
      <c r="Z18" s="70">
        <f t="shared" si="0"/>
        <v>0</v>
      </c>
      <c r="AA18" s="71">
        <f>[1]SourceValues!C18</f>
        <v>1.6</v>
      </c>
      <c r="AB18" s="71">
        <f>[1]SourceValues!D18</f>
        <v>3.28</v>
      </c>
      <c r="AC18" s="72">
        <f>[1]SourceValues!E18</f>
        <v>106.30479999999999</v>
      </c>
      <c r="AD18" s="73"/>
    </row>
    <row r="19" spans="1:30" hidden="1" x14ac:dyDescent="0.25">
      <c r="A19" s="68" t="str">
        <f>[1]SourceValues!A19</f>
        <v>Wellness Visit 5-11yrs New PT</v>
      </c>
      <c r="B19" s="26">
        <f>[1]SourceValues!B19</f>
        <v>99383</v>
      </c>
      <c r="C19" s="91"/>
      <c r="D19" s="91"/>
      <c r="E19" s="91"/>
      <c r="F19" s="91"/>
      <c r="G19" s="91"/>
      <c r="H19" s="91"/>
      <c r="I19" s="91"/>
      <c r="J19" s="91"/>
      <c r="K19" s="91"/>
      <c r="L19" s="91"/>
      <c r="M19" s="91"/>
      <c r="N19" s="91"/>
      <c r="O19" s="91"/>
      <c r="P19" s="91"/>
      <c r="Q19" s="91"/>
      <c r="R19" s="91"/>
      <c r="S19" s="91"/>
      <c r="T19" s="91"/>
      <c r="U19" s="91"/>
      <c r="V19" s="91"/>
      <c r="W19" s="69"/>
      <c r="X19" s="69"/>
      <c r="Y19" s="69"/>
      <c r="Z19" s="70">
        <f t="shared" si="0"/>
        <v>0</v>
      </c>
      <c r="AA19" s="71">
        <f>[1]SourceValues!C19</f>
        <v>1.7</v>
      </c>
      <c r="AB19" s="71">
        <f>[1]SourceValues!D19</f>
        <v>3.42</v>
      </c>
      <c r="AC19" s="72">
        <f>[1]SourceValues!E19</f>
        <v>110.84219999999999</v>
      </c>
      <c r="AD19" s="73"/>
    </row>
    <row r="20" spans="1:30" hidden="1" x14ac:dyDescent="0.25">
      <c r="A20" s="68" t="str">
        <f>[1]SourceValues!A20</f>
        <v>Wellness Visit 12-17yrs New PT</v>
      </c>
      <c r="B20" s="26">
        <f>[1]SourceValues!B20</f>
        <v>99384</v>
      </c>
      <c r="C20" s="91"/>
      <c r="D20" s="91"/>
      <c r="E20" s="91"/>
      <c r="F20" s="91"/>
      <c r="G20" s="91"/>
      <c r="H20" s="91"/>
      <c r="I20" s="91"/>
      <c r="J20" s="91"/>
      <c r="K20" s="91"/>
      <c r="L20" s="91"/>
      <c r="M20" s="91"/>
      <c r="N20" s="91"/>
      <c r="O20" s="91"/>
      <c r="P20" s="91"/>
      <c r="Q20" s="91"/>
      <c r="R20" s="91"/>
      <c r="S20" s="91"/>
      <c r="T20" s="91"/>
      <c r="U20" s="91"/>
      <c r="V20" s="91"/>
      <c r="W20" s="69"/>
      <c r="X20" s="69"/>
      <c r="Y20" s="69"/>
      <c r="Z20" s="70">
        <f t="shared" si="0"/>
        <v>0</v>
      </c>
      <c r="AA20" s="71">
        <f>[1]SourceValues!C20</f>
        <v>2</v>
      </c>
      <c r="AB20" s="71">
        <f>[1]SourceValues!D20</f>
        <v>3.87</v>
      </c>
      <c r="AC20" s="72">
        <f>[1]SourceValues!E20</f>
        <v>125.4267</v>
      </c>
      <c r="AD20" s="73"/>
    </row>
    <row r="21" spans="1:30" hidden="1" x14ac:dyDescent="0.25">
      <c r="A21" s="68" t="str">
        <f>[1]SourceValues!A21</f>
        <v>Wellness Visit 18-39yrs New PT</v>
      </c>
      <c r="B21" s="26">
        <f>[1]SourceValues!B21</f>
        <v>99385</v>
      </c>
      <c r="C21" s="91"/>
      <c r="D21" s="91"/>
      <c r="E21" s="91"/>
      <c r="F21" s="91"/>
      <c r="G21" s="91"/>
      <c r="H21" s="91"/>
      <c r="I21" s="91"/>
      <c r="J21" s="91"/>
      <c r="K21" s="91"/>
      <c r="L21" s="91"/>
      <c r="M21" s="91"/>
      <c r="N21" s="91"/>
      <c r="O21" s="91"/>
      <c r="P21" s="91"/>
      <c r="Q21" s="91"/>
      <c r="R21" s="91"/>
      <c r="S21" s="91"/>
      <c r="T21" s="91"/>
      <c r="U21" s="91"/>
      <c r="V21" s="91"/>
      <c r="W21" s="69"/>
      <c r="X21" s="69"/>
      <c r="Y21" s="69"/>
      <c r="Z21" s="70">
        <f t="shared" si="0"/>
        <v>0</v>
      </c>
      <c r="AA21" s="71">
        <f>[1]SourceValues!C21</f>
        <v>1.92</v>
      </c>
      <c r="AB21" s="71">
        <f>[1]SourceValues!D21</f>
        <v>3.75</v>
      </c>
      <c r="AC21" s="72">
        <f>[1]SourceValues!E21</f>
        <v>121.53749999999999</v>
      </c>
      <c r="AD21" s="73"/>
    </row>
    <row r="22" spans="1:30" hidden="1" x14ac:dyDescent="0.25">
      <c r="A22" s="68" t="str">
        <f>[1]SourceValues!A22</f>
        <v>Wellness Visit 40-64yrs New pt</v>
      </c>
      <c r="B22" s="26">
        <f>[1]SourceValues!B22</f>
        <v>99386</v>
      </c>
      <c r="C22" s="91"/>
      <c r="D22" s="91"/>
      <c r="E22" s="91"/>
      <c r="F22" s="91"/>
      <c r="G22" s="91"/>
      <c r="H22" s="91"/>
      <c r="I22" s="91"/>
      <c r="J22" s="91"/>
      <c r="K22" s="91"/>
      <c r="L22" s="91"/>
      <c r="M22" s="91"/>
      <c r="N22" s="91"/>
      <c r="O22" s="91"/>
      <c r="P22" s="91"/>
      <c r="Q22" s="91"/>
      <c r="R22" s="91"/>
      <c r="S22" s="91"/>
      <c r="T22" s="91"/>
      <c r="U22" s="91"/>
      <c r="V22" s="91"/>
      <c r="W22" s="69"/>
      <c r="X22" s="69"/>
      <c r="Y22" s="69"/>
      <c r="Z22" s="70">
        <f t="shared" si="0"/>
        <v>0</v>
      </c>
      <c r="AA22" s="71">
        <f>[1]SourceValues!C22</f>
        <v>2.33</v>
      </c>
      <c r="AB22" s="71">
        <f>[1]SourceValues!D22</f>
        <v>4.34</v>
      </c>
      <c r="AC22" s="72">
        <f>[1]SourceValues!E22</f>
        <v>140.65939999999998</v>
      </c>
      <c r="AD22" s="73"/>
    </row>
    <row r="23" spans="1:30" hidden="1" x14ac:dyDescent="0.25">
      <c r="A23" s="68" t="str">
        <f>[1]SourceValues!A23</f>
        <v>Wellness Visit 65+ New PT</v>
      </c>
      <c r="B23" s="26">
        <f>[1]SourceValues!B23</f>
        <v>99387</v>
      </c>
      <c r="C23" s="91"/>
      <c r="D23" s="91"/>
      <c r="E23" s="91"/>
      <c r="F23" s="91"/>
      <c r="G23" s="91"/>
      <c r="H23" s="91"/>
      <c r="I23" s="91"/>
      <c r="J23" s="91"/>
      <c r="K23" s="91"/>
      <c r="L23" s="91"/>
      <c r="M23" s="91"/>
      <c r="N23" s="91"/>
      <c r="O23" s="91"/>
      <c r="P23" s="91"/>
      <c r="Q23" s="91"/>
      <c r="R23" s="91"/>
      <c r="S23" s="91"/>
      <c r="T23" s="91"/>
      <c r="U23" s="91"/>
      <c r="V23" s="91"/>
      <c r="W23" s="69"/>
      <c r="X23" s="69"/>
      <c r="Y23" s="69"/>
      <c r="Z23" s="70">
        <f t="shared" si="0"/>
        <v>0</v>
      </c>
      <c r="AA23" s="71">
        <f>[1]SourceValues!C23</f>
        <v>2.5</v>
      </c>
      <c r="AB23" s="71">
        <f>[1]SourceValues!D23</f>
        <v>4.72</v>
      </c>
      <c r="AC23" s="72">
        <f>[1]SourceValues!E23</f>
        <v>152.97519999999997</v>
      </c>
      <c r="AD23" s="73"/>
    </row>
    <row r="24" spans="1:30" hidden="1" x14ac:dyDescent="0.25">
      <c r="A24" s="68" t="str">
        <f>[1]SourceValues!A24</f>
        <v>Outpatient F2F Nurse Visit - 5 min</v>
      </c>
      <c r="B24" s="26">
        <f>[1]SourceValues!B24</f>
        <v>99201</v>
      </c>
      <c r="C24" s="91"/>
      <c r="D24" s="91"/>
      <c r="E24" s="91"/>
      <c r="F24" s="91"/>
      <c r="G24" s="91"/>
      <c r="H24" s="91"/>
      <c r="I24" s="91"/>
      <c r="J24" s="91"/>
      <c r="K24" s="91"/>
      <c r="L24" s="91"/>
      <c r="M24" s="91"/>
      <c r="N24" s="91"/>
      <c r="O24" s="91"/>
      <c r="P24" s="91"/>
      <c r="Q24" s="91"/>
      <c r="R24" s="91"/>
      <c r="S24" s="91"/>
      <c r="T24" s="91"/>
      <c r="U24" s="91"/>
      <c r="V24" s="91"/>
      <c r="W24" s="69"/>
      <c r="X24" s="69"/>
      <c r="Y24" s="69"/>
      <c r="Z24" s="70">
        <f t="shared" si="0"/>
        <v>0</v>
      </c>
      <c r="AA24" s="71">
        <f>[1]SourceValues!C24</f>
        <v>0.48</v>
      </c>
      <c r="AB24" s="71">
        <f>[1]SourceValues!D24</f>
        <v>1.29</v>
      </c>
      <c r="AC24" s="72">
        <f>[1]SourceValues!E24</f>
        <v>41.808899999999994</v>
      </c>
      <c r="AD24" s="73"/>
    </row>
    <row r="25" spans="1:30" hidden="1" x14ac:dyDescent="0.25">
      <c r="A25" s="68" t="str">
        <f>[1]SourceValues!A25</f>
        <v>Vital Sign E/M</v>
      </c>
      <c r="B25" s="26">
        <f>[1]SourceValues!B25</f>
        <v>99211</v>
      </c>
      <c r="C25" s="91"/>
      <c r="D25" s="91"/>
      <c r="E25" s="91"/>
      <c r="F25" s="91"/>
      <c r="G25" s="91"/>
      <c r="H25" s="91"/>
      <c r="I25" s="91"/>
      <c r="J25" s="91"/>
      <c r="K25" s="91"/>
      <c r="L25" s="91"/>
      <c r="M25" s="91"/>
      <c r="N25" s="91"/>
      <c r="O25" s="91"/>
      <c r="P25" s="91"/>
      <c r="Q25" s="91"/>
      <c r="R25" s="91"/>
      <c r="S25" s="91"/>
      <c r="T25" s="91"/>
      <c r="U25" s="91"/>
      <c r="V25" s="91"/>
      <c r="W25" s="69"/>
      <c r="X25" s="69"/>
      <c r="Y25" s="69"/>
      <c r="Z25" s="70">
        <f t="shared" si="0"/>
        <v>0</v>
      </c>
      <c r="AA25" s="71">
        <f>[1]SourceValues!C25</f>
        <v>0.18</v>
      </c>
      <c r="AB25" s="71">
        <f>[1]SourceValues!D25</f>
        <v>0.65</v>
      </c>
      <c r="AC25" s="72">
        <f>[1]SourceValues!E25</f>
        <v>21.066499999999998</v>
      </c>
      <c r="AD25" s="73"/>
    </row>
    <row r="26" spans="1:30" hidden="1" x14ac:dyDescent="0.25">
      <c r="A26" s="68" t="str">
        <f>[1]SourceValues!A26</f>
        <v>BMI</v>
      </c>
      <c r="B26" s="26">
        <f>[1]SourceValues!B26</f>
        <v>99401</v>
      </c>
      <c r="C26" s="91"/>
      <c r="D26" s="91"/>
      <c r="E26" s="91"/>
      <c r="F26" s="91"/>
      <c r="G26" s="91"/>
      <c r="H26" s="91"/>
      <c r="I26" s="91"/>
      <c r="J26" s="91"/>
      <c r="K26" s="91"/>
      <c r="L26" s="91"/>
      <c r="M26" s="91"/>
      <c r="N26" s="91"/>
      <c r="O26" s="91"/>
      <c r="P26" s="91"/>
      <c r="Q26" s="91"/>
      <c r="R26" s="91"/>
      <c r="S26" s="91"/>
      <c r="T26" s="91"/>
      <c r="U26" s="91"/>
      <c r="V26" s="91"/>
      <c r="W26" s="69"/>
      <c r="X26" s="69"/>
      <c r="Y26" s="69"/>
      <c r="Z26" s="70">
        <f t="shared" si="0"/>
        <v>0</v>
      </c>
      <c r="AA26" s="71">
        <f>[1]SourceValues!C26</f>
        <v>0.48</v>
      </c>
      <c r="AB26" s="71">
        <f>[1]SourceValues!D26</f>
        <v>1.1000000000000001</v>
      </c>
      <c r="AC26" s="72">
        <f>[1]SourceValues!E26</f>
        <v>35.650999999999996</v>
      </c>
      <c r="AD26" s="73"/>
    </row>
    <row r="27" spans="1:30" hidden="1" x14ac:dyDescent="0.25">
      <c r="A27" s="68" t="str">
        <f>[1]SourceValues!A27</f>
        <v>Glucose FS</v>
      </c>
      <c r="B27" s="26">
        <f>[1]SourceValues!B27</f>
        <v>82948</v>
      </c>
      <c r="C27" s="91"/>
      <c r="D27" s="91"/>
      <c r="E27" s="91"/>
      <c r="F27" s="91"/>
      <c r="G27" s="91"/>
      <c r="H27" s="91"/>
      <c r="I27" s="91"/>
      <c r="J27" s="91"/>
      <c r="K27" s="91"/>
      <c r="L27" s="91"/>
      <c r="M27" s="91"/>
      <c r="N27" s="91"/>
      <c r="O27" s="91"/>
      <c r="P27" s="91"/>
      <c r="Q27" s="91"/>
      <c r="R27" s="91"/>
      <c r="S27" s="91"/>
      <c r="T27" s="91"/>
      <c r="U27" s="91"/>
      <c r="V27" s="91"/>
      <c r="W27" s="69"/>
      <c r="X27" s="69"/>
      <c r="Y27" s="69"/>
      <c r="Z27" s="70">
        <f t="shared" si="0"/>
        <v>0</v>
      </c>
      <c r="AA27" s="71" t="e">
        <f>[1]SourceValues!C27</f>
        <v>#REF!</v>
      </c>
      <c r="AB27" s="71" t="e">
        <f>[1]SourceValues!D27</f>
        <v>#REF!</v>
      </c>
      <c r="AC27" s="72">
        <f>[1]SourceValues!E27</f>
        <v>15</v>
      </c>
      <c r="AD27" s="73"/>
    </row>
    <row r="28" spans="1:30" hidden="1" x14ac:dyDescent="0.25">
      <c r="A28" s="68" t="e">
        <f>[1]SourceValues!A28</f>
        <v>#REF!</v>
      </c>
      <c r="B28" s="26" t="e">
        <f>[1]SourceValues!B28</f>
        <v>#REF!</v>
      </c>
      <c r="C28" s="91"/>
      <c r="D28" s="91"/>
      <c r="E28" s="91"/>
      <c r="F28" s="91"/>
      <c r="G28" s="91"/>
      <c r="H28" s="91"/>
      <c r="I28" s="91"/>
      <c r="J28" s="91"/>
      <c r="K28" s="91"/>
      <c r="L28" s="91"/>
      <c r="M28" s="91"/>
      <c r="N28" s="91"/>
      <c r="O28" s="91"/>
      <c r="P28" s="91"/>
      <c r="Q28" s="91"/>
      <c r="R28" s="91"/>
      <c r="S28" s="91"/>
      <c r="T28" s="91"/>
      <c r="U28" s="91"/>
      <c r="V28" s="91"/>
      <c r="W28" s="69"/>
      <c r="X28" s="69"/>
      <c r="Y28" s="69"/>
      <c r="Z28" s="70">
        <f t="shared" si="0"/>
        <v>0</v>
      </c>
      <c r="AA28" s="71" t="e">
        <f>[1]SourceValues!C28</f>
        <v>#REF!</v>
      </c>
      <c r="AB28" s="71" t="e">
        <f>[1]SourceValues!D28</f>
        <v>#REF!</v>
      </c>
      <c r="AC28" s="72">
        <f>[1]SourceValues!E28</f>
        <v>0</v>
      </c>
      <c r="AD28" s="73"/>
    </row>
    <row r="29" spans="1:30" hidden="1" x14ac:dyDescent="0.25">
      <c r="A29" s="68" t="e">
        <f>[1]SourceValues!A29</f>
        <v>#REF!</v>
      </c>
      <c r="B29" s="26" t="e">
        <f>[1]SourceValues!B29</f>
        <v>#REF!</v>
      </c>
      <c r="C29" s="91"/>
      <c r="D29" s="91"/>
      <c r="E29" s="91"/>
      <c r="F29" s="91"/>
      <c r="G29" s="91"/>
      <c r="H29" s="91"/>
      <c r="I29" s="91"/>
      <c r="J29" s="91"/>
      <c r="K29" s="91"/>
      <c r="L29" s="91"/>
      <c r="M29" s="91"/>
      <c r="N29" s="91"/>
      <c r="O29" s="91"/>
      <c r="P29" s="91"/>
      <c r="Q29" s="91"/>
      <c r="R29" s="91"/>
      <c r="S29" s="91"/>
      <c r="T29" s="91"/>
      <c r="U29" s="91"/>
      <c r="V29" s="91"/>
      <c r="W29" s="69"/>
      <c r="X29" s="69"/>
      <c r="Y29" s="69"/>
      <c r="Z29" s="70">
        <f t="shared" si="0"/>
        <v>0</v>
      </c>
      <c r="AA29" s="71" t="e">
        <f>[1]SourceValues!C29</f>
        <v>#REF!</v>
      </c>
      <c r="AB29" s="71" t="e">
        <f>[1]SourceValues!D29</f>
        <v>#REF!</v>
      </c>
      <c r="AC29" s="72">
        <f>[1]SourceValues!E29</f>
        <v>0</v>
      </c>
      <c r="AD29" s="73"/>
    </row>
    <row r="30" spans="1:30" hidden="1" x14ac:dyDescent="0.25">
      <c r="A30" s="68" t="e">
        <f>[1]SourceValues!A30</f>
        <v>#REF!</v>
      </c>
      <c r="B30" s="26" t="e">
        <f>[1]SourceValues!B30</f>
        <v>#REF!</v>
      </c>
      <c r="C30" s="91"/>
      <c r="D30" s="91"/>
      <c r="E30" s="91"/>
      <c r="F30" s="91"/>
      <c r="G30" s="91"/>
      <c r="H30" s="91"/>
      <c r="I30" s="91"/>
      <c r="J30" s="91"/>
      <c r="K30" s="91"/>
      <c r="L30" s="91"/>
      <c r="M30" s="91"/>
      <c r="N30" s="91"/>
      <c r="O30" s="91"/>
      <c r="P30" s="91"/>
      <c r="Q30" s="91"/>
      <c r="R30" s="91"/>
      <c r="S30" s="91"/>
      <c r="T30" s="91"/>
      <c r="U30" s="91"/>
      <c r="V30" s="91"/>
      <c r="W30" s="69"/>
      <c r="X30" s="69"/>
      <c r="Y30" s="69"/>
      <c r="Z30" s="70">
        <f t="shared" si="0"/>
        <v>0</v>
      </c>
      <c r="AA30" s="71" t="e">
        <f>[1]SourceValues!C30</f>
        <v>#REF!</v>
      </c>
      <c r="AB30" s="71" t="e">
        <f>[1]SourceValues!D30</f>
        <v>#REF!</v>
      </c>
      <c r="AC30" s="72">
        <f>[1]SourceValues!E30</f>
        <v>0</v>
      </c>
      <c r="AD30" s="73"/>
    </row>
    <row r="31" spans="1:30" hidden="1" x14ac:dyDescent="0.25">
      <c r="A31" s="68" t="e">
        <f>[1]SourceValues!A31</f>
        <v>#REF!</v>
      </c>
      <c r="B31" s="26" t="e">
        <f>[1]SourceValues!B31</f>
        <v>#REF!</v>
      </c>
      <c r="C31" s="91"/>
      <c r="D31" s="91"/>
      <c r="E31" s="91"/>
      <c r="F31" s="91"/>
      <c r="G31" s="91"/>
      <c r="H31" s="91"/>
      <c r="I31" s="91"/>
      <c r="J31" s="91"/>
      <c r="K31" s="91"/>
      <c r="L31" s="91"/>
      <c r="M31" s="91"/>
      <c r="N31" s="91"/>
      <c r="O31" s="91"/>
      <c r="P31" s="91"/>
      <c r="Q31" s="91"/>
      <c r="R31" s="91"/>
      <c r="S31" s="91"/>
      <c r="T31" s="91"/>
      <c r="U31" s="91"/>
      <c r="V31" s="91"/>
      <c r="W31" s="69"/>
      <c r="X31" s="69"/>
      <c r="Y31" s="69"/>
      <c r="Z31" s="70">
        <f t="shared" si="0"/>
        <v>0</v>
      </c>
      <c r="AA31" s="71" t="e">
        <f>[1]SourceValues!C31</f>
        <v>#REF!</v>
      </c>
      <c r="AB31" s="71" t="e">
        <f>[1]SourceValues!D31</f>
        <v>#REF!</v>
      </c>
      <c r="AC31" s="72">
        <f>[1]SourceValues!E31</f>
        <v>0</v>
      </c>
      <c r="AD31" s="73"/>
    </row>
    <row r="32" spans="1:30" hidden="1" x14ac:dyDescent="0.25">
      <c r="A32" s="68" t="e">
        <f>[1]SourceValues!A32</f>
        <v>#REF!</v>
      </c>
      <c r="B32" s="26" t="e">
        <f>[1]SourceValues!B32</f>
        <v>#REF!</v>
      </c>
      <c r="C32" s="91"/>
      <c r="D32" s="91"/>
      <c r="E32" s="91"/>
      <c r="F32" s="91"/>
      <c r="G32" s="91"/>
      <c r="H32" s="91"/>
      <c r="I32" s="91"/>
      <c r="J32" s="91"/>
      <c r="K32" s="91"/>
      <c r="L32" s="91"/>
      <c r="M32" s="91"/>
      <c r="N32" s="91"/>
      <c r="O32" s="91"/>
      <c r="P32" s="91"/>
      <c r="Q32" s="91"/>
      <c r="R32" s="91"/>
      <c r="S32" s="91"/>
      <c r="T32" s="91"/>
      <c r="U32" s="91"/>
      <c r="V32" s="91"/>
      <c r="W32" s="69"/>
      <c r="X32" s="69"/>
      <c r="Y32" s="69"/>
      <c r="Z32" s="70">
        <f t="shared" si="0"/>
        <v>0</v>
      </c>
      <c r="AA32" s="71" t="e">
        <f>[1]SourceValues!C32</f>
        <v>#REF!</v>
      </c>
      <c r="AB32" s="71" t="e">
        <f>[1]SourceValues!D32</f>
        <v>#REF!</v>
      </c>
      <c r="AC32" s="72">
        <f>[1]SourceValues!E32</f>
        <v>0</v>
      </c>
      <c r="AD32" s="73"/>
    </row>
    <row r="33" spans="1:30" hidden="1" x14ac:dyDescent="0.25">
      <c r="A33" s="68" t="str">
        <f>[1]SourceValues!A33</f>
        <v>Total Medical</v>
      </c>
      <c r="B33" s="26" t="e">
        <f>[1]SourceValues!B33</f>
        <v>#REF!</v>
      </c>
      <c r="C33" s="91"/>
      <c r="D33" s="91"/>
      <c r="E33" s="91"/>
      <c r="F33" s="91"/>
      <c r="G33" s="91"/>
      <c r="H33" s="91"/>
      <c r="I33" s="91"/>
      <c r="J33" s="91"/>
      <c r="K33" s="91"/>
      <c r="L33" s="91"/>
      <c r="M33" s="91"/>
      <c r="N33" s="91"/>
      <c r="O33" s="91"/>
      <c r="P33" s="91"/>
      <c r="Q33" s="91"/>
      <c r="R33" s="91"/>
      <c r="S33" s="91"/>
      <c r="T33" s="91"/>
      <c r="U33" s="91"/>
      <c r="V33" s="91"/>
      <c r="W33" s="69"/>
      <c r="X33" s="69"/>
      <c r="Y33" s="69"/>
      <c r="Z33" s="70">
        <f t="shared" si="0"/>
        <v>0</v>
      </c>
      <c r="AA33" s="71" t="e">
        <f>[1]SourceValues!C33</f>
        <v>#REF!</v>
      </c>
      <c r="AB33" s="71" t="e">
        <f>[1]SourceValues!D33</f>
        <v>#REF!</v>
      </c>
      <c r="AC33" s="72" t="e">
        <f>[1]SourceValues!E33</f>
        <v>#REF!</v>
      </c>
      <c r="AD33" s="73"/>
    </row>
    <row r="34" spans="1:30" hidden="1" x14ac:dyDescent="0.25">
      <c r="A34" s="68" t="str">
        <f>[1]SourceValues!A34</f>
        <v>Nutrition/Counseling/Teaching</v>
      </c>
      <c r="B34" s="26" t="e">
        <f>[1]SourceValues!B34</f>
        <v>#REF!</v>
      </c>
      <c r="C34" s="91"/>
      <c r="D34" s="91"/>
      <c r="E34" s="91"/>
      <c r="F34" s="91"/>
      <c r="G34" s="91"/>
      <c r="H34" s="91"/>
      <c r="I34" s="91"/>
      <c r="J34" s="91"/>
      <c r="K34" s="91"/>
      <c r="L34" s="91"/>
      <c r="M34" s="91"/>
      <c r="N34" s="91"/>
      <c r="O34" s="91"/>
      <c r="P34" s="91"/>
      <c r="Q34" s="91"/>
      <c r="R34" s="91"/>
      <c r="S34" s="91"/>
      <c r="T34" s="91"/>
      <c r="U34" s="91"/>
      <c r="V34" s="91"/>
      <c r="W34" s="69"/>
      <c r="X34" s="69"/>
      <c r="Y34" s="69"/>
      <c r="Z34" s="70">
        <f t="shared" si="0"/>
        <v>0</v>
      </c>
      <c r="AA34" s="71" t="e">
        <f>[1]SourceValues!C34</f>
        <v>#REF!</v>
      </c>
      <c r="AB34" s="71" t="e">
        <f>[1]SourceValues!D34</f>
        <v>#REF!</v>
      </c>
      <c r="AC34" s="72" t="e">
        <f>[1]SourceValues!E34</f>
        <v>#REF!</v>
      </c>
      <c r="AD34" s="73"/>
    </row>
    <row r="35" spans="1:30" hidden="1" x14ac:dyDescent="0.25">
      <c r="A35" s="68" t="str">
        <f>[1]SourceValues!A35</f>
        <v>Spec Initial Visit-15 min-30 mins</v>
      </c>
      <c r="B35" s="26">
        <f>[1]SourceValues!B35</f>
        <v>97802</v>
      </c>
      <c r="C35" s="91"/>
      <c r="D35" s="91"/>
      <c r="E35" s="91"/>
      <c r="F35" s="91"/>
      <c r="G35" s="91"/>
      <c r="H35" s="91"/>
      <c r="I35" s="91"/>
      <c r="J35" s="91"/>
      <c r="K35" s="91"/>
      <c r="L35" s="91"/>
      <c r="M35" s="91"/>
      <c r="N35" s="91"/>
      <c r="O35" s="91"/>
      <c r="P35" s="91"/>
      <c r="Q35" s="91"/>
      <c r="R35" s="91"/>
      <c r="S35" s="91"/>
      <c r="T35" s="91"/>
      <c r="U35" s="91"/>
      <c r="V35" s="91"/>
      <c r="W35" s="69"/>
      <c r="X35" s="69"/>
      <c r="Y35" s="69"/>
      <c r="Z35" s="70">
        <f t="shared" si="0"/>
        <v>0</v>
      </c>
      <c r="AA35" s="71">
        <f>[1]SourceValues!C35</f>
        <v>0.53</v>
      </c>
      <c r="AB35" s="71">
        <f>[1]SourceValues!D35</f>
        <v>1.06</v>
      </c>
      <c r="AC35" s="72">
        <f>[1]SourceValues!E35</f>
        <v>34.354599999999998</v>
      </c>
      <c r="AD35" s="73"/>
    </row>
    <row r="36" spans="1:30" hidden="1" x14ac:dyDescent="0.25">
      <c r="A36" s="68" t="str">
        <f>[1]SourceValues!A36</f>
        <v xml:space="preserve">Preventative Medicine Counseling (30min) </v>
      </c>
      <c r="B36" s="26">
        <f>[1]SourceValues!B36</f>
        <v>99411</v>
      </c>
      <c r="C36" s="91"/>
      <c r="D36" s="91"/>
      <c r="E36" s="91"/>
      <c r="F36" s="91"/>
      <c r="G36" s="91"/>
      <c r="H36" s="91"/>
      <c r="I36" s="91"/>
      <c r="J36" s="91"/>
      <c r="K36" s="91"/>
      <c r="L36" s="91"/>
      <c r="M36" s="91"/>
      <c r="N36" s="91"/>
      <c r="O36" s="91"/>
      <c r="P36" s="91"/>
      <c r="Q36" s="91"/>
      <c r="R36" s="91"/>
      <c r="S36" s="91"/>
      <c r="T36" s="91"/>
      <c r="U36" s="91"/>
      <c r="V36" s="91"/>
      <c r="W36" s="69"/>
      <c r="X36" s="69"/>
      <c r="Y36" s="69"/>
      <c r="Z36" s="70">
        <f t="shared" si="0"/>
        <v>0</v>
      </c>
      <c r="AA36" s="71">
        <f>[1]SourceValues!C36</f>
        <v>0.15</v>
      </c>
      <c r="AB36" s="71">
        <f>[1]SourceValues!D36</f>
        <v>0.55000000000000004</v>
      </c>
      <c r="AC36" s="72">
        <f>[1]SourceValues!E36</f>
        <v>17.825499999999998</v>
      </c>
      <c r="AD36" s="73"/>
    </row>
    <row r="37" spans="1:30" hidden="1" x14ac:dyDescent="0.25">
      <c r="A37" s="68" t="str">
        <f>[1]SourceValues!A37</f>
        <v xml:space="preserve">Preventative Medicine Counseling (60min) </v>
      </c>
      <c r="B37" s="26">
        <f>[1]SourceValues!B37</f>
        <v>99412</v>
      </c>
      <c r="C37" s="91"/>
      <c r="D37" s="91"/>
      <c r="E37" s="91"/>
      <c r="F37" s="91"/>
      <c r="G37" s="91"/>
      <c r="H37" s="91"/>
      <c r="I37" s="91"/>
      <c r="J37" s="91"/>
      <c r="K37" s="91"/>
      <c r="L37" s="91"/>
      <c r="M37" s="91"/>
      <c r="N37" s="91"/>
      <c r="O37" s="91"/>
      <c r="P37" s="91"/>
      <c r="Q37" s="91"/>
      <c r="R37" s="91"/>
      <c r="S37" s="91"/>
      <c r="T37" s="91"/>
      <c r="U37" s="91"/>
      <c r="V37" s="91"/>
      <c r="W37" s="69"/>
      <c r="X37" s="69"/>
      <c r="Y37" s="69"/>
      <c r="Z37" s="70">
        <f t="shared" si="0"/>
        <v>0</v>
      </c>
      <c r="AA37" s="71">
        <f>[1]SourceValues!C37</f>
        <v>0.25</v>
      </c>
      <c r="AB37" s="71">
        <f>[1]SourceValues!D37</f>
        <v>0.71</v>
      </c>
      <c r="AC37" s="72">
        <f>[1]SourceValues!E37</f>
        <v>23.011099999999995</v>
      </c>
      <c r="AD37" s="73"/>
    </row>
    <row r="38" spans="1:30" hidden="1" x14ac:dyDescent="0.25">
      <c r="A38" s="68" t="e">
        <f>[1]SourceValues!A38</f>
        <v>#REF!</v>
      </c>
      <c r="B38" s="26" t="e">
        <f>[1]SourceValues!B38</f>
        <v>#REF!</v>
      </c>
      <c r="C38" s="91"/>
      <c r="D38" s="91"/>
      <c r="E38" s="91"/>
      <c r="F38" s="91"/>
      <c r="G38" s="91"/>
      <c r="H38" s="91"/>
      <c r="I38" s="91"/>
      <c r="J38" s="91"/>
      <c r="K38" s="91"/>
      <c r="L38" s="91"/>
      <c r="M38" s="91"/>
      <c r="N38" s="91"/>
      <c r="O38" s="91"/>
      <c r="P38" s="91"/>
      <c r="Q38" s="91"/>
      <c r="R38" s="91"/>
      <c r="S38" s="91"/>
      <c r="T38" s="91"/>
      <c r="U38" s="91"/>
      <c r="V38" s="91"/>
      <c r="W38" s="69"/>
      <c r="X38" s="69"/>
      <c r="Y38" s="69"/>
      <c r="Z38" s="70">
        <f t="shared" si="0"/>
        <v>0</v>
      </c>
      <c r="AA38" s="71" t="e">
        <f>[1]SourceValues!C38</f>
        <v>#REF!</v>
      </c>
      <c r="AB38" s="71" t="e">
        <f>[1]SourceValues!D38</f>
        <v>#REF!</v>
      </c>
      <c r="AC38" s="72">
        <f>[1]SourceValues!E38</f>
        <v>0</v>
      </c>
      <c r="AD38" s="73"/>
    </row>
    <row r="39" spans="1:30" hidden="1" x14ac:dyDescent="0.25">
      <c r="A39" s="68" t="e">
        <f>[1]SourceValues!A39</f>
        <v>#REF!</v>
      </c>
      <c r="B39" s="26" t="e">
        <f>[1]SourceValues!B39</f>
        <v>#REF!</v>
      </c>
      <c r="C39" s="91"/>
      <c r="D39" s="91"/>
      <c r="E39" s="91"/>
      <c r="F39" s="91"/>
      <c r="G39" s="91"/>
      <c r="H39" s="91"/>
      <c r="I39" s="91"/>
      <c r="J39" s="91"/>
      <c r="K39" s="91"/>
      <c r="L39" s="91"/>
      <c r="M39" s="91"/>
      <c r="N39" s="91"/>
      <c r="O39" s="91"/>
      <c r="P39" s="91"/>
      <c r="Q39" s="91"/>
      <c r="R39" s="91"/>
      <c r="S39" s="91"/>
      <c r="T39" s="91"/>
      <c r="U39" s="91"/>
      <c r="V39" s="91"/>
      <c r="W39" s="69"/>
      <c r="X39" s="69"/>
      <c r="Y39" s="69"/>
      <c r="Z39" s="70">
        <f t="shared" si="0"/>
        <v>0</v>
      </c>
      <c r="AA39" s="71" t="e">
        <f>[1]SourceValues!C39</f>
        <v>#REF!</v>
      </c>
      <c r="AB39" s="71" t="e">
        <f>[1]SourceValues!D39</f>
        <v>#REF!</v>
      </c>
      <c r="AC39" s="72">
        <f>[1]SourceValues!E39</f>
        <v>0</v>
      </c>
      <c r="AD39" s="73"/>
    </row>
    <row r="40" spans="1:30" hidden="1" x14ac:dyDescent="0.25">
      <c r="A40" s="68" t="e">
        <f>[1]SourceValues!A40</f>
        <v>#REF!</v>
      </c>
      <c r="B40" s="26" t="e">
        <f>[1]SourceValues!B40</f>
        <v>#REF!</v>
      </c>
      <c r="C40" s="91"/>
      <c r="D40" s="91"/>
      <c r="E40" s="91"/>
      <c r="F40" s="91"/>
      <c r="G40" s="91"/>
      <c r="H40" s="91"/>
      <c r="I40" s="91"/>
      <c r="J40" s="91"/>
      <c r="K40" s="91"/>
      <c r="L40" s="91"/>
      <c r="M40" s="91"/>
      <c r="N40" s="91"/>
      <c r="O40" s="91"/>
      <c r="P40" s="91"/>
      <c r="Q40" s="91"/>
      <c r="R40" s="91"/>
      <c r="S40" s="91"/>
      <c r="T40" s="91"/>
      <c r="U40" s="91"/>
      <c r="V40" s="91"/>
      <c r="W40" s="69"/>
      <c r="X40" s="69"/>
      <c r="Y40" s="69"/>
      <c r="Z40" s="70">
        <f t="shared" si="0"/>
        <v>0</v>
      </c>
      <c r="AA40" s="71" t="e">
        <f>[1]SourceValues!C40</f>
        <v>#REF!</v>
      </c>
      <c r="AB40" s="71" t="e">
        <f>[1]SourceValues!D40</f>
        <v>#REF!</v>
      </c>
      <c r="AC40" s="72">
        <f>[1]SourceValues!E40</f>
        <v>0</v>
      </c>
      <c r="AD40" s="73"/>
    </row>
    <row r="41" spans="1:30" hidden="1" x14ac:dyDescent="0.25">
      <c r="A41" s="68" t="e">
        <f>[1]SourceValues!A41</f>
        <v>#REF!</v>
      </c>
      <c r="B41" s="26" t="e">
        <f>[1]SourceValues!B41</f>
        <v>#REF!</v>
      </c>
      <c r="C41" s="91"/>
      <c r="D41" s="91"/>
      <c r="E41" s="91"/>
      <c r="F41" s="91"/>
      <c r="G41" s="91"/>
      <c r="H41" s="91"/>
      <c r="I41" s="91"/>
      <c r="J41" s="91"/>
      <c r="K41" s="91"/>
      <c r="L41" s="91"/>
      <c r="M41" s="91"/>
      <c r="N41" s="91"/>
      <c r="O41" s="91"/>
      <c r="P41" s="91"/>
      <c r="Q41" s="91"/>
      <c r="R41" s="91"/>
      <c r="S41" s="91"/>
      <c r="T41" s="91"/>
      <c r="U41" s="91"/>
      <c r="V41" s="91"/>
      <c r="W41" s="69"/>
      <c r="X41" s="69"/>
      <c r="Y41" s="69"/>
      <c r="Z41" s="70">
        <f t="shared" si="0"/>
        <v>0</v>
      </c>
      <c r="AA41" s="71" t="e">
        <f>[1]SourceValues!C41</f>
        <v>#REF!</v>
      </c>
      <c r="AB41" s="71" t="e">
        <f>[1]SourceValues!D41</f>
        <v>#REF!</v>
      </c>
      <c r="AC41" s="72">
        <f>[1]SourceValues!E41</f>
        <v>0</v>
      </c>
      <c r="AD41" s="73"/>
    </row>
    <row r="42" spans="1:30" hidden="1" x14ac:dyDescent="0.25">
      <c r="A42" s="68" t="e">
        <f>[1]SourceValues!A42</f>
        <v>#REF!</v>
      </c>
      <c r="B42" s="26" t="e">
        <f>[1]SourceValues!B42</f>
        <v>#REF!</v>
      </c>
      <c r="C42" s="91"/>
      <c r="D42" s="91"/>
      <c r="E42" s="91"/>
      <c r="F42" s="91"/>
      <c r="G42" s="91"/>
      <c r="H42" s="91"/>
      <c r="I42" s="91"/>
      <c r="J42" s="91"/>
      <c r="K42" s="91"/>
      <c r="L42" s="91"/>
      <c r="M42" s="91"/>
      <c r="N42" s="91"/>
      <c r="O42" s="91"/>
      <c r="P42" s="91"/>
      <c r="Q42" s="91"/>
      <c r="R42" s="91"/>
      <c r="S42" s="91"/>
      <c r="T42" s="91"/>
      <c r="U42" s="91"/>
      <c r="V42" s="91"/>
      <c r="W42" s="69"/>
      <c r="X42" s="69"/>
      <c r="Y42" s="69"/>
      <c r="Z42" s="70">
        <f t="shared" si="0"/>
        <v>0</v>
      </c>
      <c r="AA42" s="71" t="e">
        <f>[1]SourceValues!C42</f>
        <v>#REF!</v>
      </c>
      <c r="AB42" s="71" t="e">
        <f>[1]SourceValues!D42</f>
        <v>#REF!</v>
      </c>
      <c r="AC42" s="72">
        <f>[1]SourceValues!E42</f>
        <v>0</v>
      </c>
      <c r="AD42" s="73"/>
    </row>
    <row r="43" spans="1:30" hidden="1" x14ac:dyDescent="0.25">
      <c r="A43" s="68" t="str">
        <f>[1]SourceValues!A43</f>
        <v>Total Nutrition/Counseling/Teaching</v>
      </c>
      <c r="B43" s="26" t="e">
        <f>[1]SourceValues!B43</f>
        <v>#REF!</v>
      </c>
      <c r="C43" s="91"/>
      <c r="D43" s="91"/>
      <c r="E43" s="91"/>
      <c r="F43" s="91"/>
      <c r="G43" s="91"/>
      <c r="H43" s="91"/>
      <c r="I43" s="91"/>
      <c r="J43" s="91"/>
      <c r="K43" s="91"/>
      <c r="L43" s="91"/>
      <c r="M43" s="91"/>
      <c r="N43" s="91"/>
      <c r="O43" s="91"/>
      <c r="P43" s="91"/>
      <c r="Q43" s="91"/>
      <c r="R43" s="91"/>
      <c r="S43" s="91"/>
      <c r="T43" s="91"/>
      <c r="U43" s="91"/>
      <c r="V43" s="91"/>
      <c r="W43" s="69"/>
      <c r="X43" s="69"/>
      <c r="Y43" s="69"/>
      <c r="Z43" s="70">
        <f t="shared" si="0"/>
        <v>0</v>
      </c>
      <c r="AA43" s="71" t="e">
        <f>[1]SourceValues!C43</f>
        <v>#REF!</v>
      </c>
      <c r="AB43" s="71" t="e">
        <f>[1]SourceValues!D43</f>
        <v>#REF!</v>
      </c>
      <c r="AC43" s="72" t="e">
        <f>[1]SourceValues!E43</f>
        <v>#REF!</v>
      </c>
      <c r="AD43" s="73"/>
    </row>
    <row r="44" spans="1:30" hidden="1" x14ac:dyDescent="0.25">
      <c r="A44" s="68" t="str">
        <f>[1]SourceValues!A44</f>
        <v>Eye</v>
      </c>
      <c r="B44" s="26" t="e">
        <f>[1]SourceValues!B44</f>
        <v>#REF!</v>
      </c>
      <c r="C44" s="91"/>
      <c r="D44" s="91"/>
      <c r="E44" s="91"/>
      <c r="F44" s="91"/>
      <c r="G44" s="91"/>
      <c r="H44" s="91"/>
      <c r="I44" s="91"/>
      <c r="J44" s="91"/>
      <c r="K44" s="91"/>
      <c r="L44" s="91"/>
      <c r="M44" s="91"/>
      <c r="N44" s="91"/>
      <c r="O44" s="91"/>
      <c r="P44" s="91"/>
      <c r="Q44" s="91"/>
      <c r="R44" s="91"/>
      <c r="S44" s="91"/>
      <c r="T44" s="91"/>
      <c r="U44" s="91"/>
      <c r="V44" s="91"/>
      <c r="W44" s="69"/>
      <c r="X44" s="69"/>
      <c r="Y44" s="69"/>
      <c r="Z44" s="70">
        <f t="shared" si="0"/>
        <v>0</v>
      </c>
      <c r="AA44" s="71" t="e">
        <f>[1]SourceValues!C44</f>
        <v>#REF!</v>
      </c>
      <c r="AB44" s="71" t="e">
        <f>[1]SourceValues!D44</f>
        <v>#REF!</v>
      </c>
      <c r="AC44" s="72" t="e">
        <f>[1]SourceValues!E44</f>
        <v>#REF!</v>
      </c>
      <c r="AD44" s="73"/>
    </row>
    <row r="45" spans="1:30" hidden="1" x14ac:dyDescent="0.25">
      <c r="A45" s="68" t="str">
        <f>[1]SourceValues!A45</f>
        <v>Eye exam, new patient - intermediate</v>
      </c>
      <c r="B45" s="26">
        <f>[1]SourceValues!B45</f>
        <v>92002</v>
      </c>
      <c r="C45" s="91"/>
      <c r="D45" s="91"/>
      <c r="E45" s="91"/>
      <c r="F45" s="91"/>
      <c r="G45" s="91"/>
      <c r="H45" s="91"/>
      <c r="I45" s="91"/>
      <c r="J45" s="91"/>
      <c r="K45" s="91"/>
      <c r="L45" s="91"/>
      <c r="M45" s="91"/>
      <c r="N45" s="91"/>
      <c r="O45" s="91"/>
      <c r="P45" s="91"/>
      <c r="Q45" s="91"/>
      <c r="R45" s="91"/>
      <c r="S45" s="91"/>
      <c r="T45" s="91"/>
      <c r="U45" s="91"/>
      <c r="V45" s="91"/>
      <c r="W45" s="69"/>
      <c r="X45" s="69"/>
      <c r="Y45" s="69"/>
      <c r="Z45" s="70">
        <f t="shared" si="0"/>
        <v>0</v>
      </c>
      <c r="AA45" s="71">
        <f>[1]SourceValues!C45</f>
        <v>0.88</v>
      </c>
      <c r="AB45" s="71">
        <f>[1]SourceValues!D45</f>
        <v>2.37</v>
      </c>
      <c r="AC45" s="72">
        <f>[1]SourceValues!E45</f>
        <v>76.811700000000002</v>
      </c>
      <c r="AD45" s="73"/>
    </row>
    <row r="46" spans="1:30" hidden="1" x14ac:dyDescent="0.25">
      <c r="A46" s="68" t="str">
        <f>[1]SourceValues!A46</f>
        <v>Eye exam, new patient - comprehensive</v>
      </c>
      <c r="B46" s="26">
        <f>[1]SourceValues!B46</f>
        <v>92004</v>
      </c>
      <c r="C46" s="91"/>
      <c r="D46" s="91"/>
      <c r="E46" s="91"/>
      <c r="F46" s="91"/>
      <c r="G46" s="91"/>
      <c r="H46" s="91"/>
      <c r="I46" s="91"/>
      <c r="J46" s="91"/>
      <c r="K46" s="91"/>
      <c r="L46" s="91"/>
      <c r="M46" s="91"/>
      <c r="N46" s="91"/>
      <c r="O46" s="91"/>
      <c r="P46" s="91"/>
      <c r="Q46" s="91"/>
      <c r="R46" s="91"/>
      <c r="S46" s="91"/>
      <c r="T46" s="91"/>
      <c r="U46" s="91"/>
      <c r="V46" s="91"/>
      <c r="W46" s="69"/>
      <c r="X46" s="69"/>
      <c r="Y46" s="69"/>
      <c r="Z46" s="70">
        <f t="shared" si="0"/>
        <v>0</v>
      </c>
      <c r="AA46" s="71">
        <f>[1]SourceValues!C46</f>
        <v>1.82</v>
      </c>
      <c r="AB46" s="71">
        <f>[1]SourceValues!D46</f>
        <v>4.2300000000000004</v>
      </c>
      <c r="AC46" s="72">
        <f>[1]SourceValues!E46</f>
        <v>137.0943</v>
      </c>
      <c r="AD46" s="73"/>
    </row>
    <row r="47" spans="1:30" hidden="1" x14ac:dyDescent="0.25">
      <c r="A47" s="68" t="str">
        <f>[1]SourceValues!A47</f>
        <v>Eye exam, est. intermediate</v>
      </c>
      <c r="B47" s="26">
        <f>[1]SourceValues!B47</f>
        <v>92012</v>
      </c>
      <c r="C47" s="91"/>
      <c r="D47" s="91"/>
      <c r="E47" s="91"/>
      <c r="F47" s="91"/>
      <c r="G47" s="91"/>
      <c r="H47" s="91"/>
      <c r="I47" s="91"/>
      <c r="J47" s="91"/>
      <c r="K47" s="91"/>
      <c r="L47" s="91"/>
      <c r="M47" s="91"/>
      <c r="N47" s="91"/>
      <c r="O47" s="91"/>
      <c r="P47" s="91"/>
      <c r="Q47" s="91"/>
      <c r="R47" s="91"/>
      <c r="S47" s="91"/>
      <c r="T47" s="91"/>
      <c r="U47" s="91"/>
      <c r="V47" s="91"/>
      <c r="W47" s="69"/>
      <c r="X47" s="69"/>
      <c r="Y47" s="69"/>
      <c r="Z47" s="70">
        <f t="shared" si="0"/>
        <v>0</v>
      </c>
      <c r="AA47" s="71">
        <f>[1]SourceValues!C47</f>
        <v>0.92</v>
      </c>
      <c r="AB47" s="71">
        <f>[1]SourceValues!D47</f>
        <v>2.4900000000000002</v>
      </c>
      <c r="AC47" s="72">
        <f>[1]SourceValues!E47</f>
        <v>80.700900000000004</v>
      </c>
      <c r="AD47" s="73"/>
    </row>
    <row r="48" spans="1:30" hidden="1" x14ac:dyDescent="0.25">
      <c r="A48" s="68" t="str">
        <f>[1]SourceValues!A48</f>
        <v>Determination of refractive state</v>
      </c>
      <c r="B48" s="26">
        <f>[1]SourceValues!B48</f>
        <v>92015</v>
      </c>
      <c r="C48" s="91"/>
      <c r="D48" s="91"/>
      <c r="E48" s="91"/>
      <c r="F48" s="91"/>
      <c r="G48" s="91"/>
      <c r="H48" s="91"/>
      <c r="I48" s="91"/>
      <c r="J48" s="91"/>
      <c r="K48" s="91"/>
      <c r="L48" s="91"/>
      <c r="M48" s="91"/>
      <c r="N48" s="91"/>
      <c r="O48" s="91"/>
      <c r="P48" s="91"/>
      <c r="Q48" s="91"/>
      <c r="R48" s="91"/>
      <c r="S48" s="91"/>
      <c r="T48" s="91"/>
      <c r="U48" s="91"/>
      <c r="V48" s="91"/>
      <c r="W48" s="69"/>
      <c r="X48" s="69"/>
      <c r="Y48" s="69"/>
      <c r="Z48" s="70">
        <f t="shared" si="0"/>
        <v>0</v>
      </c>
      <c r="AA48" s="71">
        <f>[1]SourceValues!C48</f>
        <v>0.38</v>
      </c>
      <c r="AB48" s="71">
        <f>[1]SourceValues!D48</f>
        <v>0.56999999999999995</v>
      </c>
      <c r="AC48" s="72">
        <f>[1]SourceValues!E48</f>
        <v>18.473699999999997</v>
      </c>
      <c r="AD48" s="73"/>
    </row>
    <row r="49" spans="1:30" hidden="1" x14ac:dyDescent="0.25">
      <c r="A49" s="68" t="str">
        <f>[1]SourceValues!A49</f>
        <v>Visual field exam</v>
      </c>
      <c r="B49" s="26">
        <f>[1]SourceValues!B49</f>
        <v>92081</v>
      </c>
      <c r="C49" s="91"/>
      <c r="D49" s="91"/>
      <c r="E49" s="91"/>
      <c r="F49" s="91"/>
      <c r="G49" s="91"/>
      <c r="H49" s="91"/>
      <c r="I49" s="91"/>
      <c r="J49" s="91"/>
      <c r="K49" s="91"/>
      <c r="L49" s="91"/>
      <c r="M49" s="91"/>
      <c r="N49" s="91"/>
      <c r="O49" s="91"/>
      <c r="P49" s="91"/>
      <c r="Q49" s="91"/>
      <c r="R49" s="91"/>
      <c r="S49" s="91"/>
      <c r="T49" s="91"/>
      <c r="U49" s="91"/>
      <c r="V49" s="91"/>
      <c r="W49" s="69"/>
      <c r="X49" s="69"/>
      <c r="Y49" s="69"/>
      <c r="Z49" s="70">
        <f t="shared" si="0"/>
        <v>0</v>
      </c>
      <c r="AA49" s="71">
        <f>[1]SourceValues!C49</f>
        <v>0.3</v>
      </c>
      <c r="AB49" s="71">
        <f>[1]SourceValues!D49</f>
        <v>0.95</v>
      </c>
      <c r="AC49" s="72">
        <f>[1]SourceValues!E49</f>
        <v>30.789499999999997</v>
      </c>
      <c r="AD49" s="73"/>
    </row>
    <row r="50" spans="1:30" hidden="1" x14ac:dyDescent="0.25">
      <c r="A50" s="68" t="str">
        <f>[1]SourceValues!A50</f>
        <v>Fitting of spectacles, except for aphakis; monofocal</v>
      </c>
      <c r="B50" s="26">
        <f>[1]SourceValues!B50</f>
        <v>92340</v>
      </c>
      <c r="C50" s="91"/>
      <c r="D50" s="91"/>
      <c r="E50" s="91"/>
      <c r="F50" s="91"/>
      <c r="G50" s="91"/>
      <c r="H50" s="91"/>
      <c r="I50" s="91"/>
      <c r="J50" s="91"/>
      <c r="K50" s="91"/>
      <c r="L50" s="91"/>
      <c r="M50" s="91"/>
      <c r="N50" s="91"/>
      <c r="O50" s="91"/>
      <c r="P50" s="91"/>
      <c r="Q50" s="91"/>
      <c r="R50" s="91"/>
      <c r="S50" s="91"/>
      <c r="T50" s="91"/>
      <c r="U50" s="91"/>
      <c r="V50" s="91"/>
      <c r="W50" s="69"/>
      <c r="X50" s="69"/>
      <c r="Y50" s="69"/>
      <c r="Z50" s="70">
        <f t="shared" si="0"/>
        <v>0</v>
      </c>
      <c r="AA50" s="71">
        <f>[1]SourceValues!C50</f>
        <v>0.37</v>
      </c>
      <c r="AB50" s="71">
        <f>[1]SourceValues!D50</f>
        <v>0.99</v>
      </c>
      <c r="AC50" s="72">
        <f>[1]SourceValues!E50</f>
        <v>32.085899999999995</v>
      </c>
      <c r="AD50" s="73"/>
    </row>
    <row r="51" spans="1:30" hidden="1" x14ac:dyDescent="0.25">
      <c r="A51" s="68" t="str">
        <f>[1]SourceValues!A51</f>
        <v>Fitting of spectacles, except for aphakis; bifocal</v>
      </c>
      <c r="B51" s="26">
        <f>[1]SourceValues!B51</f>
        <v>92341</v>
      </c>
      <c r="C51" s="91"/>
      <c r="D51" s="91"/>
      <c r="E51" s="91"/>
      <c r="F51" s="91"/>
      <c r="G51" s="91"/>
      <c r="H51" s="91"/>
      <c r="I51" s="91"/>
      <c r="J51" s="91"/>
      <c r="K51" s="91"/>
      <c r="L51" s="91"/>
      <c r="M51" s="91"/>
      <c r="N51" s="91"/>
      <c r="O51" s="91"/>
      <c r="P51" s="91"/>
      <c r="Q51" s="91"/>
      <c r="R51" s="91"/>
      <c r="S51" s="91"/>
      <c r="T51" s="91"/>
      <c r="U51" s="91"/>
      <c r="V51" s="91"/>
      <c r="W51" s="69"/>
      <c r="X51" s="69"/>
      <c r="Y51" s="69"/>
      <c r="Z51" s="70">
        <f t="shared" si="0"/>
        <v>0</v>
      </c>
      <c r="AA51" s="71">
        <f>[1]SourceValues!C51</f>
        <v>0.47</v>
      </c>
      <c r="AB51" s="71">
        <f>[1]SourceValues!D51</f>
        <v>1.1499999999999999</v>
      </c>
      <c r="AC51" s="72">
        <f>[1]SourceValues!E51</f>
        <v>37.271499999999996</v>
      </c>
      <c r="AD51" s="73"/>
    </row>
    <row r="52" spans="1:30" hidden="1" x14ac:dyDescent="0.25">
      <c r="A52" s="68" t="e">
        <f>[1]SourceValues!A52</f>
        <v>#REF!</v>
      </c>
      <c r="B52" s="26" t="e">
        <f>[1]SourceValues!B52</f>
        <v>#REF!</v>
      </c>
      <c r="C52" s="91"/>
      <c r="D52" s="91"/>
      <c r="E52" s="91"/>
      <c r="F52" s="91"/>
      <c r="G52" s="91"/>
      <c r="H52" s="91"/>
      <c r="I52" s="91"/>
      <c r="J52" s="91"/>
      <c r="K52" s="91"/>
      <c r="L52" s="91"/>
      <c r="M52" s="91"/>
      <c r="N52" s="91"/>
      <c r="O52" s="91"/>
      <c r="P52" s="91"/>
      <c r="Q52" s="91"/>
      <c r="R52" s="91"/>
      <c r="S52" s="91"/>
      <c r="T52" s="91"/>
      <c r="U52" s="91"/>
      <c r="V52" s="91"/>
      <c r="W52" s="69"/>
      <c r="X52" s="69"/>
      <c r="Y52" s="69"/>
      <c r="Z52" s="70">
        <f t="shared" si="0"/>
        <v>0</v>
      </c>
      <c r="AA52" s="71" t="e">
        <f>[1]SourceValues!C52</f>
        <v>#REF!</v>
      </c>
      <c r="AB52" s="71" t="e">
        <f>[1]SourceValues!D52</f>
        <v>#REF!</v>
      </c>
      <c r="AC52" s="72">
        <f>[1]SourceValues!E52</f>
        <v>0</v>
      </c>
      <c r="AD52" s="73"/>
    </row>
    <row r="53" spans="1:30" hidden="1" x14ac:dyDescent="0.25">
      <c r="A53" s="68" t="e">
        <f>[1]SourceValues!A53</f>
        <v>#REF!</v>
      </c>
      <c r="B53" s="26" t="e">
        <f>[1]SourceValues!B53</f>
        <v>#REF!</v>
      </c>
      <c r="C53" s="91"/>
      <c r="D53" s="91"/>
      <c r="E53" s="91"/>
      <c r="F53" s="91"/>
      <c r="G53" s="91"/>
      <c r="H53" s="91"/>
      <c r="I53" s="91"/>
      <c r="J53" s="91"/>
      <c r="K53" s="91"/>
      <c r="L53" s="91"/>
      <c r="M53" s="91"/>
      <c r="N53" s="91"/>
      <c r="O53" s="91"/>
      <c r="P53" s="91"/>
      <c r="Q53" s="91"/>
      <c r="R53" s="91"/>
      <c r="S53" s="91"/>
      <c r="T53" s="91"/>
      <c r="U53" s="91"/>
      <c r="V53" s="91"/>
      <c r="W53" s="69"/>
      <c r="X53" s="69"/>
      <c r="Y53" s="69"/>
      <c r="Z53" s="70">
        <f t="shared" si="0"/>
        <v>0</v>
      </c>
      <c r="AA53" s="71" t="e">
        <f>[1]SourceValues!C53</f>
        <v>#REF!</v>
      </c>
      <c r="AB53" s="71" t="e">
        <f>[1]SourceValues!D53</f>
        <v>#REF!</v>
      </c>
      <c r="AC53" s="72">
        <f>[1]SourceValues!E53</f>
        <v>0</v>
      </c>
      <c r="AD53" s="73"/>
    </row>
    <row r="54" spans="1:30" hidden="1" x14ac:dyDescent="0.25">
      <c r="A54" s="68" t="e">
        <f>[1]SourceValues!A54</f>
        <v>#REF!</v>
      </c>
      <c r="B54" s="26" t="e">
        <f>[1]SourceValues!B54</f>
        <v>#REF!</v>
      </c>
      <c r="C54" s="91"/>
      <c r="D54" s="91"/>
      <c r="E54" s="91"/>
      <c r="F54" s="91"/>
      <c r="G54" s="91"/>
      <c r="H54" s="91"/>
      <c r="I54" s="91"/>
      <c r="J54" s="91"/>
      <c r="K54" s="91"/>
      <c r="L54" s="91"/>
      <c r="M54" s="91"/>
      <c r="N54" s="91"/>
      <c r="O54" s="91"/>
      <c r="P54" s="91"/>
      <c r="Q54" s="91"/>
      <c r="R54" s="91"/>
      <c r="S54" s="91"/>
      <c r="T54" s="91"/>
      <c r="U54" s="91"/>
      <c r="V54" s="91"/>
      <c r="W54" s="69"/>
      <c r="X54" s="69"/>
      <c r="Y54" s="69"/>
      <c r="Z54" s="70">
        <f t="shared" si="0"/>
        <v>0</v>
      </c>
      <c r="AA54" s="71" t="e">
        <f>[1]SourceValues!C54</f>
        <v>#REF!</v>
      </c>
      <c r="AB54" s="71" t="e">
        <f>[1]SourceValues!D54</f>
        <v>#REF!</v>
      </c>
      <c r="AC54" s="72">
        <f>[1]SourceValues!E54</f>
        <v>0</v>
      </c>
      <c r="AD54" s="73"/>
    </row>
    <row r="55" spans="1:30" hidden="1" x14ac:dyDescent="0.25">
      <c r="A55" s="68" t="e">
        <f>[1]SourceValues!A55</f>
        <v>#REF!</v>
      </c>
      <c r="B55" s="26" t="e">
        <f>[1]SourceValues!B55</f>
        <v>#REF!</v>
      </c>
      <c r="C55" s="91"/>
      <c r="D55" s="91"/>
      <c r="E55" s="91"/>
      <c r="F55" s="91"/>
      <c r="G55" s="91"/>
      <c r="H55" s="91"/>
      <c r="I55" s="91"/>
      <c r="J55" s="91"/>
      <c r="K55" s="91"/>
      <c r="L55" s="91"/>
      <c r="M55" s="91"/>
      <c r="N55" s="91"/>
      <c r="O55" s="91"/>
      <c r="P55" s="91"/>
      <c r="Q55" s="91"/>
      <c r="R55" s="91"/>
      <c r="S55" s="91"/>
      <c r="T55" s="91"/>
      <c r="U55" s="91"/>
      <c r="V55" s="91"/>
      <c r="W55" s="69"/>
      <c r="X55" s="69"/>
      <c r="Y55" s="69"/>
      <c r="Z55" s="70">
        <f t="shared" si="0"/>
        <v>0</v>
      </c>
      <c r="AA55" s="71" t="e">
        <f>[1]SourceValues!C55</f>
        <v>#REF!</v>
      </c>
      <c r="AB55" s="71" t="e">
        <f>[1]SourceValues!D55</f>
        <v>#REF!</v>
      </c>
      <c r="AC55" s="72">
        <f>[1]SourceValues!E55</f>
        <v>0</v>
      </c>
      <c r="AD55" s="73"/>
    </row>
    <row r="56" spans="1:30" hidden="1" x14ac:dyDescent="0.25">
      <c r="A56" s="74" t="e">
        <f>[1]SourceValues!A56</f>
        <v>#REF!</v>
      </c>
      <c r="B56" s="75" t="e">
        <f>[1]SourceValues!B56</f>
        <v>#REF!</v>
      </c>
      <c r="C56" s="75"/>
      <c r="D56" s="75"/>
      <c r="E56" s="75"/>
      <c r="F56" s="75"/>
      <c r="G56" s="75"/>
      <c r="H56" s="75"/>
      <c r="I56" s="75"/>
      <c r="J56" s="75"/>
      <c r="K56" s="75"/>
      <c r="L56" s="75"/>
      <c r="M56" s="75"/>
      <c r="N56" s="75"/>
      <c r="O56" s="75"/>
      <c r="P56" s="75"/>
      <c r="Q56" s="75"/>
      <c r="R56" s="75"/>
      <c r="S56" s="75"/>
      <c r="T56" s="75"/>
      <c r="U56" s="75"/>
      <c r="V56" s="75"/>
      <c r="W56" s="76">
        <f t="shared" ref="W56:Y56" si="1">SUM(W7:W55)</f>
        <v>0</v>
      </c>
      <c r="X56" s="76">
        <f t="shared" si="1"/>
        <v>0</v>
      </c>
      <c r="Y56" s="76">
        <f t="shared" si="1"/>
        <v>0</v>
      </c>
      <c r="Z56" s="76">
        <f t="shared" si="0"/>
        <v>0</v>
      </c>
      <c r="AA56" s="77" t="e">
        <f>[1]SourceValues!C56</f>
        <v>#REF!</v>
      </c>
      <c r="AB56" s="77" t="e">
        <f>[1]SourceValues!D56</f>
        <v>#REF!</v>
      </c>
      <c r="AC56" s="78">
        <f>[1]SourceValues!E56</f>
        <v>0</v>
      </c>
      <c r="AD56" s="79"/>
    </row>
    <row r="57" spans="1:30" hidden="1" x14ac:dyDescent="0.25">
      <c r="A57" s="61" t="str">
        <f>[1]SourceValues!A57</f>
        <v>Total Eye</v>
      </c>
      <c r="B57" s="62"/>
      <c r="C57" s="90"/>
      <c r="D57" s="90"/>
      <c r="E57" s="90"/>
      <c r="F57" s="90"/>
      <c r="G57" s="90"/>
      <c r="H57" s="90"/>
      <c r="I57" s="90"/>
      <c r="J57" s="90"/>
      <c r="K57" s="90"/>
      <c r="L57" s="90"/>
      <c r="M57" s="90"/>
      <c r="N57" s="90"/>
      <c r="O57" s="90"/>
      <c r="P57" s="90"/>
      <c r="Q57" s="90"/>
      <c r="R57" s="90"/>
      <c r="S57" s="90"/>
      <c r="T57" s="90"/>
      <c r="U57" s="90"/>
      <c r="V57" s="90"/>
      <c r="W57" s="63"/>
      <c r="X57" s="63"/>
      <c r="Y57" s="63"/>
      <c r="Z57" s="64"/>
      <c r="AA57" s="65"/>
      <c r="AB57" s="65"/>
      <c r="AC57" s="66"/>
      <c r="AD57" s="67"/>
    </row>
    <row r="58" spans="1:30" hidden="1" x14ac:dyDescent="0.25">
      <c r="A58" s="68" t="str">
        <f>[1]SourceValues!A58</f>
        <v>Dental</v>
      </c>
      <c r="B58" s="26" t="e">
        <f>[1]SourceValues!B58</f>
        <v>#REF!</v>
      </c>
      <c r="C58" s="91"/>
      <c r="D58" s="91"/>
      <c r="E58" s="91"/>
      <c r="F58" s="91"/>
      <c r="G58" s="91"/>
      <c r="H58" s="91"/>
      <c r="I58" s="91"/>
      <c r="J58" s="91"/>
      <c r="K58" s="91"/>
      <c r="L58" s="91"/>
      <c r="M58" s="91"/>
      <c r="N58" s="91"/>
      <c r="O58" s="91"/>
      <c r="P58" s="91"/>
      <c r="Q58" s="91"/>
      <c r="R58" s="91"/>
      <c r="S58" s="91"/>
      <c r="T58" s="91"/>
      <c r="U58" s="91"/>
      <c r="V58" s="91"/>
      <c r="W58" s="69"/>
      <c r="X58" s="69"/>
      <c r="Y58" s="69"/>
      <c r="Z58" s="70">
        <f t="shared" ref="Z58:Z71" si="2">SUM(W58:Y58)</f>
        <v>0</v>
      </c>
      <c r="AA58" s="71" t="e">
        <f>[1]SourceValues!C58</f>
        <v>#REF!</v>
      </c>
      <c r="AB58" s="71" t="e">
        <f>[1]SourceValues!D58</f>
        <v>#REF!</v>
      </c>
      <c r="AC58" s="72" t="e">
        <f>[1]SourceValues!E58</f>
        <v>#REF!</v>
      </c>
      <c r="AD58" s="73"/>
    </row>
    <row r="59" spans="1:30" hidden="1" x14ac:dyDescent="0.25">
      <c r="A59" s="68" t="str">
        <f>[1]SourceValues!A59</f>
        <v>Limited oral evaluation</v>
      </c>
      <c r="B59" s="26" t="str">
        <f>[1]SourceValues!B59</f>
        <v>D0140</v>
      </c>
      <c r="C59" s="91"/>
      <c r="D59" s="91"/>
      <c r="E59" s="91"/>
      <c r="F59" s="91"/>
      <c r="G59" s="91"/>
      <c r="H59" s="91"/>
      <c r="I59" s="91"/>
      <c r="J59" s="91"/>
      <c r="K59" s="91"/>
      <c r="L59" s="91"/>
      <c r="M59" s="91"/>
      <c r="N59" s="91"/>
      <c r="O59" s="91"/>
      <c r="P59" s="91"/>
      <c r="Q59" s="91"/>
      <c r="R59" s="91"/>
      <c r="S59" s="91"/>
      <c r="T59" s="91"/>
      <c r="U59" s="91"/>
      <c r="V59" s="91"/>
      <c r="W59" s="69"/>
      <c r="X59" s="69"/>
      <c r="Y59" s="69"/>
      <c r="Z59" s="70">
        <f t="shared" si="2"/>
        <v>0</v>
      </c>
      <c r="AA59" s="71">
        <f>[1]SourceValues!C59</f>
        <v>0.75</v>
      </c>
      <c r="AB59" s="71">
        <f>[1]SourceValues!D59</f>
        <v>0.24307499999999999</v>
      </c>
      <c r="AC59" s="72">
        <f>[1]SourceValues!E59</f>
        <v>7.8780607499999986</v>
      </c>
      <c r="AD59" s="73"/>
    </row>
    <row r="60" spans="1:30" hidden="1" x14ac:dyDescent="0.25">
      <c r="A60" s="68" t="str">
        <f>[1]SourceValues!A60</f>
        <v>Comprehensive oral evaluation</v>
      </c>
      <c r="B60" s="26" t="str">
        <f>[1]SourceValues!B60</f>
        <v>D0150</v>
      </c>
      <c r="C60" s="91"/>
      <c r="D60" s="91"/>
      <c r="E60" s="91"/>
      <c r="F60" s="91"/>
      <c r="G60" s="91"/>
      <c r="H60" s="91"/>
      <c r="I60" s="91"/>
      <c r="J60" s="91"/>
      <c r="K60" s="91"/>
      <c r="L60" s="91"/>
      <c r="M60" s="91"/>
      <c r="N60" s="91"/>
      <c r="O60" s="91"/>
      <c r="P60" s="91"/>
      <c r="Q60" s="91"/>
      <c r="R60" s="91"/>
      <c r="S60" s="91"/>
      <c r="T60" s="91"/>
      <c r="U60" s="91"/>
      <c r="V60" s="91"/>
      <c r="W60" s="69"/>
      <c r="X60" s="69"/>
      <c r="Y60" s="69"/>
      <c r="Z60" s="70">
        <f t="shared" si="2"/>
        <v>0</v>
      </c>
      <c r="AA60" s="71">
        <f>[1]SourceValues!C60</f>
        <v>0.84</v>
      </c>
      <c r="AB60" s="71">
        <f>[1]SourceValues!D60</f>
        <v>0.27224399999999993</v>
      </c>
      <c r="AC60" s="72">
        <f>[1]SourceValues!E60</f>
        <v>8.823428039999996</v>
      </c>
      <c r="AD60" s="73"/>
    </row>
    <row r="61" spans="1:30" hidden="1" x14ac:dyDescent="0.25">
      <c r="A61" s="68" t="str">
        <f>[1]SourceValues!A61</f>
        <v>Detailed/extensive oral evaluation(oral cancer screening)</v>
      </c>
      <c r="B61" s="26" t="str">
        <f>[1]SourceValues!B61</f>
        <v>D0160</v>
      </c>
      <c r="C61" s="91"/>
      <c r="D61" s="91"/>
      <c r="E61" s="91"/>
      <c r="F61" s="91"/>
      <c r="G61" s="91"/>
      <c r="H61" s="91"/>
      <c r="I61" s="91"/>
      <c r="J61" s="91"/>
      <c r="K61" s="91"/>
      <c r="L61" s="91"/>
      <c r="M61" s="91"/>
      <c r="N61" s="91"/>
      <c r="O61" s="91"/>
      <c r="P61" s="91"/>
      <c r="Q61" s="91"/>
      <c r="R61" s="91"/>
      <c r="S61" s="91"/>
      <c r="T61" s="91"/>
      <c r="U61" s="91"/>
      <c r="V61" s="91"/>
      <c r="W61" s="69"/>
      <c r="X61" s="69"/>
      <c r="Y61" s="69"/>
      <c r="Z61" s="70">
        <f t="shared" si="2"/>
        <v>0</v>
      </c>
      <c r="AA61" s="71">
        <f>[1]SourceValues!C61</f>
        <v>1.38</v>
      </c>
      <c r="AB61" s="71">
        <f>[1]SourceValues!D61</f>
        <v>0.44725799999999993</v>
      </c>
      <c r="AC61" s="72">
        <f>[1]SourceValues!E61</f>
        <v>14.495631779999997</v>
      </c>
      <c r="AD61" s="73"/>
    </row>
    <row r="62" spans="1:30" hidden="1" x14ac:dyDescent="0.25">
      <c r="A62" s="68" t="str">
        <f>[1]SourceValues!A62</f>
        <v>Extraction, coronal rem - deciduous tooth</v>
      </c>
      <c r="B62" s="26" t="str">
        <f>[1]SourceValues!B62</f>
        <v>D7111</v>
      </c>
      <c r="C62" s="91"/>
      <c r="D62" s="91"/>
      <c r="E62" s="91"/>
      <c r="F62" s="91"/>
      <c r="G62" s="91"/>
      <c r="H62" s="91"/>
      <c r="I62" s="91"/>
      <c r="J62" s="91"/>
      <c r="K62" s="91"/>
      <c r="L62" s="91"/>
      <c r="M62" s="91"/>
      <c r="N62" s="91"/>
      <c r="O62" s="91"/>
      <c r="P62" s="91"/>
      <c r="Q62" s="91"/>
      <c r="R62" s="91"/>
      <c r="S62" s="91"/>
      <c r="T62" s="91"/>
      <c r="U62" s="91"/>
      <c r="V62" s="91"/>
      <c r="W62" s="69"/>
      <c r="X62" s="69"/>
      <c r="Y62" s="69"/>
      <c r="Z62" s="70">
        <f t="shared" si="2"/>
        <v>0</v>
      </c>
      <c r="AA62" s="71">
        <f>[1]SourceValues!C62</f>
        <v>1.17</v>
      </c>
      <c r="AB62" s="71">
        <f>[1]SourceValues!D62</f>
        <v>0.3791969999999999</v>
      </c>
      <c r="AC62" s="72">
        <f>[1]SourceValues!E62</f>
        <v>12.289774769999996</v>
      </c>
      <c r="AD62" s="73"/>
    </row>
    <row r="63" spans="1:30" hidden="1" x14ac:dyDescent="0.25">
      <c r="A63" s="68" t="str">
        <f>[1]SourceValues!A63</f>
        <v>Extraction, single tooth</v>
      </c>
      <c r="B63" s="26" t="str">
        <f>[1]SourceValues!B63</f>
        <v>D7140</v>
      </c>
      <c r="C63" s="91"/>
      <c r="D63" s="91"/>
      <c r="E63" s="91"/>
      <c r="F63" s="91"/>
      <c r="G63" s="91"/>
      <c r="H63" s="91"/>
      <c r="I63" s="91"/>
      <c r="J63" s="91"/>
      <c r="K63" s="91"/>
      <c r="L63" s="91"/>
      <c r="M63" s="91"/>
      <c r="N63" s="91"/>
      <c r="O63" s="91"/>
      <c r="P63" s="91"/>
      <c r="Q63" s="91"/>
      <c r="R63" s="91"/>
      <c r="S63" s="91"/>
      <c r="T63" s="91"/>
      <c r="U63" s="91"/>
      <c r="V63" s="91"/>
      <c r="W63" s="69"/>
      <c r="X63" s="69"/>
      <c r="Y63" s="69"/>
      <c r="Z63" s="70">
        <f t="shared" si="2"/>
        <v>0</v>
      </c>
      <c r="AA63" s="71">
        <f>[1]SourceValues!C63</f>
        <v>1.63</v>
      </c>
      <c r="AB63" s="71">
        <f>[1]SourceValues!D63</f>
        <v>0.52828299999999995</v>
      </c>
      <c r="AC63" s="72">
        <f>[1]SourceValues!E63</f>
        <v>17.121652029999996</v>
      </c>
      <c r="AD63" s="73"/>
    </row>
    <row r="64" spans="1:30" hidden="1" x14ac:dyDescent="0.25">
      <c r="A64" s="68" t="str">
        <f>[1]SourceValues!A64</f>
        <v>Surgical removal of erupted tooth</v>
      </c>
      <c r="B64" s="26" t="str">
        <f>[1]SourceValues!B64</f>
        <v>D7210</v>
      </c>
      <c r="C64" s="91"/>
      <c r="D64" s="91"/>
      <c r="E64" s="91"/>
      <c r="F64" s="91"/>
      <c r="G64" s="91"/>
      <c r="H64" s="91"/>
      <c r="I64" s="91"/>
      <c r="J64" s="91"/>
      <c r="K64" s="91"/>
      <c r="L64" s="91"/>
      <c r="M64" s="91"/>
      <c r="N64" s="91"/>
      <c r="O64" s="91"/>
      <c r="P64" s="91"/>
      <c r="Q64" s="91"/>
      <c r="R64" s="91"/>
      <c r="S64" s="91"/>
      <c r="T64" s="91"/>
      <c r="U64" s="91"/>
      <c r="V64" s="91"/>
      <c r="W64" s="69"/>
      <c r="X64" s="69"/>
      <c r="Y64" s="69"/>
      <c r="Z64" s="70">
        <f t="shared" si="2"/>
        <v>0</v>
      </c>
      <c r="AA64" s="71">
        <f>[1]SourceValues!C64</f>
        <v>2.76</v>
      </c>
      <c r="AB64" s="71">
        <f>[1]SourceValues!D64</f>
        <v>0.89451599999999987</v>
      </c>
      <c r="AC64" s="72">
        <f>[1]SourceValues!E64</f>
        <v>28.991263559999993</v>
      </c>
      <c r="AD64" s="73"/>
    </row>
    <row r="65" spans="1:30" hidden="1" x14ac:dyDescent="0.25">
      <c r="A65" s="68" t="str">
        <f>[1]SourceValues!A65</f>
        <v>Ext impacted tooth soft tissue</v>
      </c>
      <c r="B65" s="26" t="str">
        <f>[1]SourceValues!B65</f>
        <v>D7220</v>
      </c>
      <c r="C65" s="91"/>
      <c r="D65" s="91"/>
      <c r="E65" s="91"/>
      <c r="F65" s="91"/>
      <c r="G65" s="91"/>
      <c r="H65" s="91"/>
      <c r="I65" s="91"/>
      <c r="J65" s="91"/>
      <c r="K65" s="91"/>
      <c r="L65" s="91"/>
      <c r="M65" s="91"/>
      <c r="N65" s="91"/>
      <c r="O65" s="91"/>
      <c r="P65" s="91"/>
      <c r="Q65" s="91"/>
      <c r="R65" s="91"/>
      <c r="S65" s="91"/>
      <c r="T65" s="91"/>
      <c r="U65" s="91"/>
      <c r="V65" s="91"/>
      <c r="W65" s="69"/>
      <c r="X65" s="69"/>
      <c r="Y65" s="69"/>
      <c r="Z65" s="70">
        <f t="shared" si="2"/>
        <v>0</v>
      </c>
      <c r="AA65" s="71">
        <f>[1]SourceValues!C65</f>
        <v>3.26</v>
      </c>
      <c r="AB65" s="71">
        <f>[1]SourceValues!D65</f>
        <v>1.0565659999999999</v>
      </c>
      <c r="AC65" s="72">
        <f>[1]SourceValues!E65</f>
        <v>34.243304059999993</v>
      </c>
      <c r="AD65" s="73"/>
    </row>
    <row r="66" spans="1:30" hidden="1" x14ac:dyDescent="0.25">
      <c r="A66" s="68" t="str">
        <f>[1]SourceValues!A66</f>
        <v>Ext impacted tooth partial bony</v>
      </c>
      <c r="B66" s="26" t="str">
        <f>[1]SourceValues!B66</f>
        <v>D7230</v>
      </c>
      <c r="C66" s="91"/>
      <c r="D66" s="91"/>
      <c r="E66" s="91"/>
      <c r="F66" s="91"/>
      <c r="G66" s="91"/>
      <c r="H66" s="91"/>
      <c r="I66" s="91"/>
      <c r="J66" s="91"/>
      <c r="K66" s="91"/>
      <c r="L66" s="91"/>
      <c r="M66" s="91"/>
      <c r="N66" s="91"/>
      <c r="O66" s="91"/>
      <c r="P66" s="91"/>
      <c r="Q66" s="91"/>
      <c r="R66" s="91"/>
      <c r="S66" s="91"/>
      <c r="T66" s="91"/>
      <c r="U66" s="91"/>
      <c r="V66" s="91"/>
      <c r="W66" s="69"/>
      <c r="X66" s="69"/>
      <c r="Y66" s="69"/>
      <c r="Z66" s="70">
        <f t="shared" si="2"/>
        <v>0</v>
      </c>
      <c r="AA66" s="71">
        <f>[1]SourceValues!C66</f>
        <v>4.09</v>
      </c>
      <c r="AB66" s="71">
        <f>[1]SourceValues!D66</f>
        <v>1.3255689999999998</v>
      </c>
      <c r="AC66" s="72">
        <f>[1]SourceValues!E66</f>
        <v>42.96169128999999</v>
      </c>
      <c r="AD66" s="73"/>
    </row>
    <row r="67" spans="1:30" hidden="1" x14ac:dyDescent="0.25">
      <c r="A67" s="68" t="str">
        <f>[1]SourceValues!A67</f>
        <v>Ext impacted tooth comp bony</v>
      </c>
      <c r="B67" s="26" t="str">
        <f>[1]SourceValues!B67</f>
        <v>D7240</v>
      </c>
      <c r="C67" s="91"/>
      <c r="D67" s="91"/>
      <c r="E67" s="91"/>
      <c r="F67" s="91"/>
      <c r="G67" s="91"/>
      <c r="H67" s="91"/>
      <c r="I67" s="91"/>
      <c r="J67" s="91"/>
      <c r="K67" s="91"/>
      <c r="L67" s="91"/>
      <c r="M67" s="91"/>
      <c r="N67" s="91"/>
      <c r="O67" s="91"/>
      <c r="P67" s="91"/>
      <c r="Q67" s="91"/>
      <c r="R67" s="91"/>
      <c r="S67" s="91"/>
      <c r="T67" s="91"/>
      <c r="U67" s="91"/>
      <c r="V67" s="91"/>
      <c r="W67" s="69"/>
      <c r="X67" s="69"/>
      <c r="Y67" s="69"/>
      <c r="Z67" s="70">
        <f t="shared" si="2"/>
        <v>0</v>
      </c>
      <c r="AA67" s="71">
        <f>[1]SourceValues!C67</f>
        <v>4.84</v>
      </c>
      <c r="AB67" s="71">
        <f>[1]SourceValues!D67</f>
        <v>1.5686439999999999</v>
      </c>
      <c r="AC67" s="72">
        <f>[1]SourceValues!E67</f>
        <v>50.839752039999993</v>
      </c>
      <c r="AD67" s="73"/>
    </row>
    <row r="68" spans="1:30" hidden="1" x14ac:dyDescent="0.25">
      <c r="A68" s="68" t="str">
        <f>[1]SourceValues!A68</f>
        <v>Surgical removal of residual roots</v>
      </c>
      <c r="B68" s="26" t="str">
        <f>[1]SourceValues!B68</f>
        <v>D7250</v>
      </c>
      <c r="C68" s="91"/>
      <c r="D68" s="91"/>
      <c r="E68" s="91"/>
      <c r="F68" s="91"/>
      <c r="G68" s="91"/>
      <c r="H68" s="91"/>
      <c r="I68" s="91"/>
      <c r="J68" s="91"/>
      <c r="K68" s="91"/>
      <c r="L68" s="91"/>
      <c r="M68" s="91"/>
      <c r="N68" s="91"/>
      <c r="O68" s="91"/>
      <c r="P68" s="91"/>
      <c r="Q68" s="91"/>
      <c r="R68" s="91"/>
      <c r="S68" s="91"/>
      <c r="T68" s="91"/>
      <c r="U68" s="91"/>
      <c r="V68" s="91"/>
      <c r="W68" s="69"/>
      <c r="X68" s="69"/>
      <c r="Y68" s="69"/>
      <c r="Z68" s="70">
        <f t="shared" si="2"/>
        <v>0</v>
      </c>
      <c r="AA68" s="71">
        <f>[1]SourceValues!C68</f>
        <v>2.9</v>
      </c>
      <c r="AB68" s="71">
        <f>[1]SourceValues!D68</f>
        <v>0.93988999999999989</v>
      </c>
      <c r="AC68" s="72">
        <f>[1]SourceValues!E68</f>
        <v>30.461834899999992</v>
      </c>
      <c r="AD68" s="73"/>
    </row>
    <row r="69" spans="1:30" hidden="1" x14ac:dyDescent="0.25">
      <c r="A69" s="68" t="str">
        <f>[1]SourceValues!A69</f>
        <v>Alveoloplasty in conjunction with extractions-four or more teeth</v>
      </c>
      <c r="B69" s="26" t="str">
        <f>[1]SourceValues!B69</f>
        <v>D7310</v>
      </c>
      <c r="C69" s="91"/>
      <c r="D69" s="91"/>
      <c r="E69" s="91"/>
      <c r="F69" s="91"/>
      <c r="G69" s="91"/>
      <c r="H69" s="91"/>
      <c r="I69" s="91"/>
      <c r="J69" s="91"/>
      <c r="K69" s="91"/>
      <c r="L69" s="91"/>
      <c r="M69" s="91"/>
      <c r="N69" s="91"/>
      <c r="O69" s="91"/>
      <c r="P69" s="91"/>
      <c r="Q69" s="91"/>
      <c r="R69" s="91"/>
      <c r="S69" s="91"/>
      <c r="T69" s="91"/>
      <c r="U69" s="91"/>
      <c r="V69" s="91"/>
      <c r="W69" s="69"/>
      <c r="X69" s="69"/>
      <c r="Y69" s="69"/>
      <c r="Z69" s="70">
        <f t="shared" si="2"/>
        <v>0</v>
      </c>
      <c r="AA69" s="71">
        <f>[1]SourceValues!C69</f>
        <v>2.7</v>
      </c>
      <c r="AB69" s="71">
        <f>[1]SourceValues!D69</f>
        <v>0.8750699999999999</v>
      </c>
      <c r="AC69" s="72">
        <f>[1]SourceValues!E69</f>
        <v>28.361018699999995</v>
      </c>
      <c r="AD69" s="73"/>
    </row>
    <row r="70" spans="1:30" hidden="1" x14ac:dyDescent="0.25">
      <c r="A70" s="68" t="str">
        <f>[1]SourceValues!A70</f>
        <v>Alveoloplasty in conjunction with extractions-one to three teeth</v>
      </c>
      <c r="B70" s="26" t="str">
        <f>[1]SourceValues!B70</f>
        <v>D7311</v>
      </c>
      <c r="C70" s="91"/>
      <c r="D70" s="91"/>
      <c r="E70" s="91"/>
      <c r="F70" s="91"/>
      <c r="G70" s="91"/>
      <c r="H70" s="91"/>
      <c r="I70" s="91"/>
      <c r="J70" s="91"/>
      <c r="K70" s="91"/>
      <c r="L70" s="91"/>
      <c r="M70" s="91"/>
      <c r="N70" s="91"/>
      <c r="O70" s="91"/>
      <c r="P70" s="91"/>
      <c r="Q70" s="91"/>
      <c r="R70" s="91"/>
      <c r="S70" s="91"/>
      <c r="T70" s="91"/>
      <c r="U70" s="91"/>
      <c r="V70" s="91"/>
      <c r="W70" s="69"/>
      <c r="X70" s="69"/>
      <c r="Y70" s="69"/>
      <c r="Z70" s="70">
        <f t="shared" si="2"/>
        <v>0</v>
      </c>
      <c r="AA70" s="71">
        <f>[1]SourceValues!C70</f>
        <v>2.3199999999999998</v>
      </c>
      <c r="AB70" s="71">
        <f>[1]SourceValues!D70</f>
        <v>0.7519119999999998</v>
      </c>
      <c r="AC70" s="72">
        <f>[1]SourceValues!E70</f>
        <v>24.369467919999991</v>
      </c>
      <c r="AD70" s="73"/>
    </row>
    <row r="71" spans="1:30" hidden="1" x14ac:dyDescent="0.25">
      <c r="A71" s="74" t="str">
        <f>[1]SourceValues!A71</f>
        <v>Cleaning of teeth</v>
      </c>
      <c r="B71" s="75" t="str">
        <f>[1]SourceValues!B71</f>
        <v>D1110</v>
      </c>
      <c r="C71" s="75"/>
      <c r="D71" s="75"/>
      <c r="E71" s="75"/>
      <c r="F71" s="75"/>
      <c r="G71" s="75"/>
      <c r="H71" s="75"/>
      <c r="I71" s="75"/>
      <c r="J71" s="75"/>
      <c r="K71" s="75"/>
      <c r="L71" s="75"/>
      <c r="M71" s="75"/>
      <c r="N71" s="75"/>
      <c r="O71" s="75"/>
      <c r="P71" s="75"/>
      <c r="Q71" s="75"/>
      <c r="R71" s="75"/>
      <c r="S71" s="75"/>
      <c r="T71" s="75"/>
      <c r="U71" s="75"/>
      <c r="V71" s="75"/>
      <c r="W71" s="80">
        <f t="shared" ref="W71:Y71" si="3">SUM(W58:W70)</f>
        <v>0</v>
      </c>
      <c r="X71" s="80">
        <f t="shared" si="3"/>
        <v>0</v>
      </c>
      <c r="Y71" s="80">
        <f t="shared" si="3"/>
        <v>0</v>
      </c>
      <c r="Z71" s="81">
        <f t="shared" si="2"/>
        <v>0</v>
      </c>
      <c r="AA71" s="77">
        <f>[1]SourceValues!C71</f>
        <v>0.89</v>
      </c>
      <c r="AB71" s="77">
        <f>[1]SourceValues!D71</f>
        <v>0.28844900000000001</v>
      </c>
      <c r="AC71" s="78">
        <f>[1]SourceValues!E71</f>
        <v>9.3486320899999988</v>
      </c>
      <c r="AD71" s="82"/>
    </row>
    <row r="72" spans="1:30" hidden="1" x14ac:dyDescent="0.25">
      <c r="A72" s="61" t="str">
        <f>[1]SourceValues!A72</f>
        <v>Amalgam Filling-1 surface</v>
      </c>
      <c r="B72" s="62"/>
      <c r="C72" s="90"/>
      <c r="D72" s="90"/>
      <c r="E72" s="90"/>
      <c r="F72" s="90"/>
      <c r="G72" s="90"/>
      <c r="H72" s="90"/>
      <c r="I72" s="90"/>
      <c r="J72" s="90"/>
      <c r="K72" s="90"/>
      <c r="L72" s="90"/>
      <c r="M72" s="90"/>
      <c r="N72" s="90"/>
      <c r="O72" s="90"/>
      <c r="P72" s="90"/>
      <c r="Q72" s="90"/>
      <c r="R72" s="90"/>
      <c r="S72" s="90"/>
      <c r="T72" s="90"/>
      <c r="U72" s="90"/>
      <c r="V72" s="90"/>
      <c r="W72" s="63"/>
      <c r="X72" s="63"/>
      <c r="Y72" s="63"/>
      <c r="Z72" s="64"/>
      <c r="AA72" s="65"/>
      <c r="AB72" s="65"/>
      <c r="AC72" s="66"/>
      <c r="AD72" s="67"/>
    </row>
    <row r="73" spans="1:30" hidden="1" x14ac:dyDescent="0.25">
      <c r="A73" s="68" t="str">
        <f>[1]SourceValues!A73</f>
        <v>Amalgam Filling-2 surface</v>
      </c>
      <c r="B73" s="26" t="str">
        <f>[1]SourceValues!B73</f>
        <v>D2150</v>
      </c>
      <c r="C73" s="91"/>
      <c r="D73" s="91"/>
      <c r="E73" s="91"/>
      <c r="F73" s="91"/>
      <c r="G73" s="91"/>
      <c r="H73" s="91"/>
      <c r="I73" s="91"/>
      <c r="J73" s="91"/>
      <c r="K73" s="91"/>
      <c r="L73" s="91"/>
      <c r="M73" s="91"/>
      <c r="N73" s="91"/>
      <c r="O73" s="91"/>
      <c r="P73" s="91"/>
      <c r="Q73" s="91"/>
      <c r="R73" s="91"/>
      <c r="S73" s="91"/>
      <c r="T73" s="91"/>
      <c r="U73" s="91"/>
      <c r="V73" s="91"/>
      <c r="W73" s="69"/>
      <c r="X73" s="69"/>
      <c r="Y73" s="69"/>
      <c r="Z73" s="70">
        <f t="shared" ref="Z73:Z91" si="4">SUM(W73:Y73)</f>
        <v>0</v>
      </c>
      <c r="AA73" s="71">
        <f>[1]SourceValues!C73</f>
        <v>1.6</v>
      </c>
      <c r="AB73" s="71">
        <f>[1]SourceValues!D73</f>
        <v>0.51855999999999991</v>
      </c>
      <c r="AC73" s="72">
        <f>[1]SourceValues!E73</f>
        <v>16.806529599999994</v>
      </c>
      <c r="AD73" s="73"/>
    </row>
    <row r="74" spans="1:30" hidden="1" x14ac:dyDescent="0.25">
      <c r="A74" s="68" t="str">
        <f>[1]SourceValues!A74</f>
        <v>Amalgam Filling-3 surface</v>
      </c>
      <c r="B74" s="26" t="str">
        <f>[1]SourceValues!B74</f>
        <v>D2160</v>
      </c>
      <c r="C74" s="91"/>
      <c r="D74" s="91"/>
      <c r="E74" s="91"/>
      <c r="F74" s="91"/>
      <c r="G74" s="91"/>
      <c r="H74" s="91"/>
      <c r="I74" s="91"/>
      <c r="J74" s="91"/>
      <c r="K74" s="91"/>
      <c r="L74" s="91"/>
      <c r="M74" s="91"/>
      <c r="N74" s="91"/>
      <c r="O74" s="91"/>
      <c r="P74" s="91"/>
      <c r="Q74" s="91"/>
      <c r="R74" s="91"/>
      <c r="S74" s="91"/>
      <c r="T74" s="91"/>
      <c r="U74" s="91"/>
      <c r="V74" s="91"/>
      <c r="W74" s="69"/>
      <c r="X74" s="69"/>
      <c r="Y74" s="69"/>
      <c r="Z74" s="70">
        <f t="shared" si="4"/>
        <v>0</v>
      </c>
      <c r="AA74" s="71">
        <f>[1]SourceValues!C74</f>
        <v>1.95</v>
      </c>
      <c r="AB74" s="71">
        <f>[1]SourceValues!D74</f>
        <v>0.63199499999999997</v>
      </c>
      <c r="AC74" s="72">
        <f>[1]SourceValues!E74</f>
        <v>20.482957949999996</v>
      </c>
      <c r="AD74" s="73"/>
    </row>
    <row r="75" spans="1:30" hidden="1" x14ac:dyDescent="0.25">
      <c r="A75" s="68" t="str">
        <f>[1]SourceValues!A75</f>
        <v>Amalgam Filling-4 surface</v>
      </c>
      <c r="B75" s="26" t="str">
        <f>[1]SourceValues!B75</f>
        <v>D2161</v>
      </c>
      <c r="C75" s="91"/>
      <c r="D75" s="91"/>
      <c r="E75" s="91"/>
      <c r="F75" s="91"/>
      <c r="G75" s="91"/>
      <c r="H75" s="91"/>
      <c r="I75" s="91"/>
      <c r="J75" s="91"/>
      <c r="K75" s="91"/>
      <c r="L75" s="91"/>
      <c r="M75" s="91"/>
      <c r="N75" s="91"/>
      <c r="O75" s="91"/>
      <c r="P75" s="91"/>
      <c r="Q75" s="91"/>
      <c r="R75" s="91"/>
      <c r="S75" s="91"/>
      <c r="T75" s="91"/>
      <c r="U75" s="91"/>
      <c r="V75" s="91"/>
      <c r="W75" s="69"/>
      <c r="X75" s="69"/>
      <c r="Y75" s="69"/>
      <c r="Z75" s="70">
        <f t="shared" si="4"/>
        <v>0</v>
      </c>
      <c r="AA75" s="71">
        <f>[1]SourceValues!C75</f>
        <v>2.29</v>
      </c>
      <c r="AB75" s="71">
        <f>[1]SourceValues!D75</f>
        <v>0.74218899999999988</v>
      </c>
      <c r="AC75" s="72">
        <f>[1]SourceValues!E75</f>
        <v>24.054345489999992</v>
      </c>
      <c r="AD75" s="73"/>
    </row>
    <row r="76" spans="1:30" hidden="1" x14ac:dyDescent="0.25">
      <c r="A76" s="68" t="str">
        <f>[1]SourceValues!A76</f>
        <v>Composite Filling Anterior-1 surface</v>
      </c>
      <c r="B76" s="26" t="str">
        <f>[1]SourceValues!B76</f>
        <v>D2330</v>
      </c>
      <c r="C76" s="91"/>
      <c r="D76" s="91"/>
      <c r="E76" s="91"/>
      <c r="F76" s="91"/>
      <c r="G76" s="91"/>
      <c r="H76" s="91"/>
      <c r="I76" s="91"/>
      <c r="J76" s="91"/>
      <c r="K76" s="91"/>
      <c r="L76" s="91"/>
      <c r="M76" s="91"/>
      <c r="N76" s="91"/>
      <c r="O76" s="91"/>
      <c r="P76" s="91"/>
      <c r="Q76" s="91"/>
      <c r="R76" s="91"/>
      <c r="S76" s="91"/>
      <c r="T76" s="91"/>
      <c r="U76" s="91"/>
      <c r="V76" s="91"/>
      <c r="W76" s="69"/>
      <c r="X76" s="69"/>
      <c r="Y76" s="69"/>
      <c r="Z76" s="70">
        <f t="shared" si="4"/>
        <v>0</v>
      </c>
      <c r="AA76" s="71">
        <f>[1]SourceValues!C76</f>
        <v>1.55</v>
      </c>
      <c r="AB76" s="71">
        <f>[1]SourceValues!D76</f>
        <v>0.502355</v>
      </c>
      <c r="AC76" s="72">
        <f>[1]SourceValues!E76</f>
        <v>16.281325549999998</v>
      </c>
      <c r="AD76" s="73"/>
    </row>
    <row r="77" spans="1:30" hidden="1" x14ac:dyDescent="0.25">
      <c r="A77" s="68" t="str">
        <f>[1]SourceValues!A77</f>
        <v>Composite Filling Anterior-2 surface</v>
      </c>
      <c r="B77" s="26" t="str">
        <f>[1]SourceValues!B77</f>
        <v>D2331</v>
      </c>
      <c r="C77" s="91"/>
      <c r="D77" s="91"/>
      <c r="E77" s="91"/>
      <c r="F77" s="91"/>
      <c r="G77" s="91"/>
      <c r="H77" s="91"/>
      <c r="I77" s="91"/>
      <c r="J77" s="91"/>
      <c r="K77" s="91"/>
      <c r="L77" s="91"/>
      <c r="M77" s="91"/>
      <c r="N77" s="91"/>
      <c r="O77" s="91"/>
      <c r="P77" s="91"/>
      <c r="Q77" s="91"/>
      <c r="R77" s="91"/>
      <c r="S77" s="91"/>
      <c r="T77" s="91"/>
      <c r="U77" s="91"/>
      <c r="V77" s="91"/>
      <c r="W77" s="69"/>
      <c r="X77" s="69"/>
      <c r="Y77" s="69"/>
      <c r="Z77" s="70">
        <f t="shared" si="4"/>
        <v>0</v>
      </c>
      <c r="AA77" s="71">
        <f>[1]SourceValues!C77</f>
        <v>1.94</v>
      </c>
      <c r="AB77" s="71">
        <f>[1]SourceValues!D77</f>
        <v>0.62875399999999992</v>
      </c>
      <c r="AC77" s="72">
        <f>[1]SourceValues!E77</f>
        <v>20.377917139999994</v>
      </c>
      <c r="AD77" s="73"/>
    </row>
    <row r="78" spans="1:30" hidden="1" x14ac:dyDescent="0.25">
      <c r="A78" s="68" t="str">
        <f>[1]SourceValues!A78</f>
        <v>Composite Filling Anterior-3 surface</v>
      </c>
      <c r="B78" s="26" t="str">
        <f>[1]SourceValues!B78</f>
        <v>D2332</v>
      </c>
      <c r="C78" s="91"/>
      <c r="D78" s="91"/>
      <c r="E78" s="91"/>
      <c r="F78" s="91"/>
      <c r="G78" s="91"/>
      <c r="H78" s="91"/>
      <c r="I78" s="91"/>
      <c r="J78" s="91"/>
      <c r="K78" s="91"/>
      <c r="L78" s="91"/>
      <c r="M78" s="91"/>
      <c r="N78" s="91"/>
      <c r="O78" s="91"/>
      <c r="P78" s="91"/>
      <c r="Q78" s="91"/>
      <c r="R78" s="91"/>
      <c r="S78" s="91"/>
      <c r="T78" s="91"/>
      <c r="U78" s="91"/>
      <c r="V78" s="91"/>
      <c r="W78" s="69"/>
      <c r="X78" s="69"/>
      <c r="Y78" s="69"/>
      <c r="Z78" s="70">
        <f t="shared" si="4"/>
        <v>0</v>
      </c>
      <c r="AA78" s="71">
        <f>[1]SourceValues!C78</f>
        <v>2.31</v>
      </c>
      <c r="AB78" s="71">
        <f>[1]SourceValues!D78</f>
        <v>0.74867099999999998</v>
      </c>
      <c r="AC78" s="72">
        <f>[1]SourceValues!E78</f>
        <v>24.264427109999996</v>
      </c>
      <c r="AD78" s="73"/>
    </row>
    <row r="79" spans="1:30" hidden="1" x14ac:dyDescent="0.25">
      <c r="A79" s="68" t="str">
        <f>[1]SourceValues!A79</f>
        <v>Composite Filling Anterior-4 surface</v>
      </c>
      <c r="B79" s="26" t="str">
        <f>[1]SourceValues!B79</f>
        <v>D2335</v>
      </c>
      <c r="C79" s="91"/>
      <c r="D79" s="91"/>
      <c r="E79" s="91"/>
      <c r="F79" s="91"/>
      <c r="G79" s="91"/>
      <c r="H79" s="91"/>
      <c r="I79" s="91"/>
      <c r="J79" s="91"/>
      <c r="K79" s="91"/>
      <c r="L79" s="91"/>
      <c r="M79" s="91"/>
      <c r="N79" s="91"/>
      <c r="O79" s="91"/>
      <c r="P79" s="91"/>
      <c r="Q79" s="91"/>
      <c r="R79" s="91"/>
      <c r="S79" s="91"/>
      <c r="T79" s="91"/>
      <c r="U79" s="91"/>
      <c r="V79" s="91"/>
      <c r="W79" s="69"/>
      <c r="X79" s="69"/>
      <c r="Y79" s="69"/>
      <c r="Z79" s="70">
        <f t="shared" si="4"/>
        <v>0</v>
      </c>
      <c r="AA79" s="71">
        <f>[1]SourceValues!C79</f>
        <v>2.81</v>
      </c>
      <c r="AB79" s="71">
        <f>[1]SourceValues!D79</f>
        <v>0.91072099999999989</v>
      </c>
      <c r="AC79" s="72">
        <f>[1]SourceValues!E79</f>
        <v>29.516467609999992</v>
      </c>
      <c r="AD79" s="73"/>
    </row>
    <row r="80" spans="1:30" hidden="1" x14ac:dyDescent="0.25">
      <c r="A80" s="68" t="str">
        <f>[1]SourceValues!A80</f>
        <v>Composite Filling Posterior-1 surface</v>
      </c>
      <c r="B80" s="26" t="str">
        <f>[1]SourceValues!B80</f>
        <v>D2391</v>
      </c>
      <c r="C80" s="91"/>
      <c r="D80" s="91"/>
      <c r="E80" s="91"/>
      <c r="F80" s="91"/>
      <c r="G80" s="91"/>
      <c r="H80" s="91"/>
      <c r="I80" s="91"/>
      <c r="J80" s="91"/>
      <c r="K80" s="91"/>
      <c r="L80" s="91"/>
      <c r="M80" s="91"/>
      <c r="N80" s="91"/>
      <c r="O80" s="91"/>
      <c r="P80" s="91"/>
      <c r="Q80" s="91"/>
      <c r="R80" s="91"/>
      <c r="S80" s="91"/>
      <c r="T80" s="91"/>
      <c r="U80" s="91"/>
      <c r="V80" s="91"/>
      <c r="W80" s="69"/>
      <c r="X80" s="69"/>
      <c r="Y80" s="69"/>
      <c r="Z80" s="70">
        <f t="shared" si="4"/>
        <v>0</v>
      </c>
      <c r="AA80" s="71">
        <f>[1]SourceValues!C80</f>
        <v>1.71</v>
      </c>
      <c r="AB80" s="71">
        <f>[1]SourceValues!D80</f>
        <v>0.55421100000000001</v>
      </c>
      <c r="AC80" s="72">
        <f>[1]SourceValues!E80</f>
        <v>17.961978509999998</v>
      </c>
      <c r="AD80" s="73"/>
    </row>
    <row r="81" spans="1:30" hidden="1" x14ac:dyDescent="0.25">
      <c r="A81" s="68" t="str">
        <f>[1]SourceValues!A81</f>
        <v>Composite Filling Posterior-2 surface</v>
      </c>
      <c r="B81" s="26" t="str">
        <f>[1]SourceValues!B81</f>
        <v>D2392</v>
      </c>
      <c r="C81" s="91"/>
      <c r="D81" s="91"/>
      <c r="E81" s="91"/>
      <c r="F81" s="91"/>
      <c r="G81" s="91"/>
      <c r="H81" s="91"/>
      <c r="I81" s="91"/>
      <c r="J81" s="91"/>
      <c r="K81" s="91"/>
      <c r="L81" s="91"/>
      <c r="M81" s="91"/>
      <c r="N81" s="91"/>
      <c r="O81" s="91"/>
      <c r="P81" s="91"/>
      <c r="Q81" s="91"/>
      <c r="R81" s="91"/>
      <c r="S81" s="91"/>
      <c r="T81" s="91"/>
      <c r="U81" s="91"/>
      <c r="V81" s="91"/>
      <c r="W81" s="69"/>
      <c r="X81" s="69"/>
      <c r="Y81" s="69"/>
      <c r="Z81" s="70">
        <f t="shared" si="4"/>
        <v>0</v>
      </c>
      <c r="AA81" s="71">
        <f>[1]SourceValues!C81</f>
        <v>2.19</v>
      </c>
      <c r="AB81" s="71">
        <f>[1]SourceValues!D81</f>
        <v>0.70977899999999994</v>
      </c>
      <c r="AC81" s="72">
        <f>[1]SourceValues!E81</f>
        <v>23.003937389999997</v>
      </c>
      <c r="AD81" s="73"/>
    </row>
    <row r="82" spans="1:30" hidden="1" x14ac:dyDescent="0.25">
      <c r="A82" s="68" t="str">
        <f>[1]SourceValues!A82</f>
        <v>Composite Filling Posterior-3 surface</v>
      </c>
      <c r="B82" s="26" t="str">
        <f>[1]SourceValues!B82</f>
        <v>D2393</v>
      </c>
      <c r="C82" s="91"/>
      <c r="D82" s="91"/>
      <c r="E82" s="91"/>
      <c r="F82" s="91"/>
      <c r="G82" s="91"/>
      <c r="H82" s="91"/>
      <c r="I82" s="91"/>
      <c r="J82" s="91"/>
      <c r="K82" s="91"/>
      <c r="L82" s="91"/>
      <c r="M82" s="91"/>
      <c r="N82" s="91"/>
      <c r="O82" s="91"/>
      <c r="P82" s="91"/>
      <c r="Q82" s="91"/>
      <c r="R82" s="91"/>
      <c r="S82" s="91"/>
      <c r="T82" s="91"/>
      <c r="U82" s="91"/>
      <c r="V82" s="91"/>
      <c r="W82" s="69"/>
      <c r="X82" s="69"/>
      <c r="Y82" s="69"/>
      <c r="Z82" s="70">
        <f t="shared" si="4"/>
        <v>0</v>
      </c>
      <c r="AA82" s="71">
        <f>[1]SourceValues!C82</f>
        <v>2.64</v>
      </c>
      <c r="AB82" s="71">
        <f>[1]SourceValues!D82</f>
        <v>0.85562399999999994</v>
      </c>
      <c r="AC82" s="72">
        <f>[1]SourceValues!E82</f>
        <v>27.730773839999994</v>
      </c>
      <c r="AD82" s="73"/>
    </row>
    <row r="83" spans="1:30" hidden="1" x14ac:dyDescent="0.25">
      <c r="A83" s="68" t="str">
        <f>[1]SourceValues!A83</f>
        <v>Composite Filling Posterior-4 surface</v>
      </c>
      <c r="B83" s="26" t="str">
        <f>[1]SourceValues!B83</f>
        <v>D2394</v>
      </c>
      <c r="C83" s="91"/>
      <c r="D83" s="91"/>
      <c r="E83" s="91"/>
      <c r="F83" s="91"/>
      <c r="G83" s="91"/>
      <c r="H83" s="91"/>
      <c r="I83" s="91"/>
      <c r="J83" s="91"/>
      <c r="K83" s="91"/>
      <c r="L83" s="91"/>
      <c r="M83" s="91"/>
      <c r="N83" s="91"/>
      <c r="O83" s="91"/>
      <c r="P83" s="91"/>
      <c r="Q83" s="91"/>
      <c r="R83" s="91"/>
      <c r="S83" s="91"/>
      <c r="T83" s="91"/>
      <c r="U83" s="91"/>
      <c r="V83" s="91"/>
      <c r="W83" s="69"/>
      <c r="X83" s="69"/>
      <c r="Y83" s="69"/>
      <c r="Z83" s="70">
        <f t="shared" si="4"/>
        <v>0</v>
      </c>
      <c r="AA83" s="71">
        <f>[1]SourceValues!C83</f>
        <v>3.09</v>
      </c>
      <c r="AB83" s="71">
        <f>[1]SourceValues!D83</f>
        <v>1.0014689999999999</v>
      </c>
      <c r="AC83" s="72">
        <f>[1]SourceValues!E83</f>
        <v>32.457610289999998</v>
      </c>
      <c r="AD83" s="73"/>
    </row>
    <row r="84" spans="1:30" hidden="1" x14ac:dyDescent="0.25">
      <c r="A84" s="68" t="str">
        <f>[1]SourceValues!A84</f>
        <v>Sedative Filling</v>
      </c>
      <c r="B84" s="26" t="str">
        <f>[1]SourceValues!B84</f>
        <v>D2940</v>
      </c>
      <c r="C84" s="91"/>
      <c r="D84" s="91"/>
      <c r="E84" s="91"/>
      <c r="F84" s="91"/>
      <c r="G84" s="91"/>
      <c r="H84" s="91"/>
      <c r="I84" s="91"/>
      <c r="J84" s="91"/>
      <c r="K84" s="91"/>
      <c r="L84" s="91"/>
      <c r="M84" s="91"/>
      <c r="N84" s="91"/>
      <c r="O84" s="91"/>
      <c r="P84" s="91"/>
      <c r="Q84" s="91"/>
      <c r="R84" s="91"/>
      <c r="S84" s="91"/>
      <c r="T84" s="91"/>
      <c r="U84" s="91"/>
      <c r="V84" s="91"/>
      <c r="W84" s="69"/>
      <c r="X84" s="69"/>
      <c r="Y84" s="69"/>
      <c r="Z84" s="70">
        <f t="shared" si="4"/>
        <v>0</v>
      </c>
      <c r="AA84" s="71">
        <f>[1]SourceValues!C84</f>
        <v>1.0900000000000001</v>
      </c>
      <c r="AB84" s="71">
        <f>[1]SourceValues!D84</f>
        <v>0.353269</v>
      </c>
      <c r="AC84" s="72">
        <f>[1]SourceValues!E84</f>
        <v>11.449448289999999</v>
      </c>
      <c r="AD84" s="73"/>
    </row>
    <row r="85" spans="1:30" hidden="1" x14ac:dyDescent="0.25">
      <c r="A85" s="68" t="str">
        <f>[1]SourceValues!A85</f>
        <v>Prefabricated stainless steel crown-primary tooth</v>
      </c>
      <c r="B85" s="26" t="str">
        <f>[1]SourceValues!B85</f>
        <v>D2930</v>
      </c>
      <c r="C85" s="91"/>
      <c r="D85" s="91"/>
      <c r="E85" s="91"/>
      <c r="F85" s="91"/>
      <c r="G85" s="91"/>
      <c r="H85" s="91"/>
      <c r="I85" s="91"/>
      <c r="J85" s="91"/>
      <c r="K85" s="91"/>
      <c r="L85" s="91"/>
      <c r="M85" s="91"/>
      <c r="N85" s="91"/>
      <c r="O85" s="91"/>
      <c r="P85" s="91"/>
      <c r="Q85" s="91"/>
      <c r="R85" s="91"/>
      <c r="S85" s="91"/>
      <c r="T85" s="91"/>
      <c r="U85" s="91"/>
      <c r="V85" s="91"/>
      <c r="W85" s="69"/>
      <c r="X85" s="69"/>
      <c r="Y85" s="69"/>
      <c r="Z85" s="70">
        <f t="shared" si="4"/>
        <v>0</v>
      </c>
      <c r="AA85" s="71">
        <f>[1]SourceValues!C85</f>
        <v>2.75</v>
      </c>
      <c r="AB85" s="71">
        <f>[1]SourceValues!D85</f>
        <v>0.89127499999999993</v>
      </c>
      <c r="AC85" s="72">
        <f>[1]SourceValues!E85</f>
        <v>28.886222749999995</v>
      </c>
      <c r="AD85" s="73"/>
    </row>
    <row r="86" spans="1:30" hidden="1" x14ac:dyDescent="0.25">
      <c r="A86" s="68" t="str">
        <f>[1]SourceValues!A86</f>
        <v>Prefabricated stainless steel crown-permanent tooth</v>
      </c>
      <c r="B86" s="26" t="str">
        <f>[1]SourceValues!B86</f>
        <v>D2931</v>
      </c>
      <c r="C86" s="91"/>
      <c r="D86" s="91"/>
      <c r="E86" s="91"/>
      <c r="F86" s="91"/>
      <c r="G86" s="91"/>
      <c r="H86" s="91"/>
      <c r="I86" s="91"/>
      <c r="J86" s="91"/>
      <c r="K86" s="91"/>
      <c r="L86" s="91"/>
      <c r="M86" s="91"/>
      <c r="N86" s="91"/>
      <c r="O86" s="91"/>
      <c r="P86" s="91"/>
      <c r="Q86" s="91"/>
      <c r="R86" s="91"/>
      <c r="S86" s="91"/>
      <c r="T86" s="91"/>
      <c r="U86" s="91"/>
      <c r="V86" s="91"/>
      <c r="W86" s="69"/>
      <c r="X86" s="69"/>
      <c r="Y86" s="69"/>
      <c r="Z86" s="70">
        <f t="shared" si="4"/>
        <v>0</v>
      </c>
      <c r="AA86" s="71">
        <f>[1]SourceValues!C86</f>
        <v>3.13</v>
      </c>
      <c r="AB86" s="71">
        <f>[1]SourceValues!D86</f>
        <v>1.0144329999999997</v>
      </c>
      <c r="AC86" s="72">
        <f>[1]SourceValues!E86</f>
        <v>32.877773529999985</v>
      </c>
      <c r="AD86" s="73"/>
    </row>
    <row r="87" spans="1:30" hidden="1" x14ac:dyDescent="0.25">
      <c r="A87" s="68" t="str">
        <f>[1]SourceValues!A87</f>
        <v>Consultation</v>
      </c>
      <c r="B87" s="26" t="str">
        <f>[1]SourceValues!B87</f>
        <v>D9310</v>
      </c>
      <c r="C87" s="91"/>
      <c r="D87" s="91"/>
      <c r="E87" s="91"/>
      <c r="F87" s="91"/>
      <c r="G87" s="91"/>
      <c r="H87" s="91"/>
      <c r="I87" s="91"/>
      <c r="J87" s="91"/>
      <c r="K87" s="91"/>
      <c r="L87" s="91"/>
      <c r="M87" s="91"/>
      <c r="N87" s="91"/>
      <c r="O87" s="91"/>
      <c r="P87" s="91"/>
      <c r="Q87" s="91"/>
      <c r="R87" s="91"/>
      <c r="S87" s="91"/>
      <c r="T87" s="91"/>
      <c r="U87" s="91"/>
      <c r="V87" s="91"/>
      <c r="W87" s="69"/>
      <c r="X87" s="69"/>
      <c r="Y87" s="69"/>
      <c r="Z87" s="70">
        <f t="shared" si="4"/>
        <v>0</v>
      </c>
      <c r="AA87" s="71">
        <f>[1]SourceValues!C87</f>
        <v>1.02</v>
      </c>
      <c r="AB87" s="71">
        <f>[1]SourceValues!D87</f>
        <v>0.33058199999999999</v>
      </c>
      <c r="AC87" s="72">
        <f>[1]SourceValues!E87</f>
        <v>10.714162619999998</v>
      </c>
      <c r="AD87" s="73"/>
    </row>
    <row r="88" spans="1:30" hidden="1" x14ac:dyDescent="0.25">
      <c r="A88" s="68" t="str">
        <f>[1]SourceValues!A88</f>
        <v>Nutritional counseling</v>
      </c>
      <c r="B88" s="26" t="str">
        <f>[1]SourceValues!B88</f>
        <v>D1310</v>
      </c>
      <c r="C88" s="91"/>
      <c r="D88" s="91"/>
      <c r="E88" s="91"/>
      <c r="F88" s="91"/>
      <c r="G88" s="91"/>
      <c r="H88" s="91"/>
      <c r="I88" s="91"/>
      <c r="J88" s="91"/>
      <c r="K88" s="91"/>
      <c r="L88" s="91"/>
      <c r="M88" s="91"/>
      <c r="N88" s="91"/>
      <c r="O88" s="91"/>
      <c r="P88" s="91"/>
      <c r="Q88" s="91"/>
      <c r="R88" s="91"/>
      <c r="S88" s="91"/>
      <c r="T88" s="91"/>
      <c r="U88" s="91"/>
      <c r="V88" s="91"/>
      <c r="W88" s="69"/>
      <c r="X88" s="69"/>
      <c r="Y88" s="69"/>
      <c r="Z88" s="70">
        <f t="shared" si="4"/>
        <v>0</v>
      </c>
      <c r="AA88" s="71">
        <f>[1]SourceValues!C88</f>
        <v>0.43</v>
      </c>
      <c r="AB88" s="71">
        <f>[1]SourceValues!D88</f>
        <v>0.13936299999999999</v>
      </c>
      <c r="AC88" s="72">
        <f>[1]SourceValues!E88</f>
        <v>4.5167548299999991</v>
      </c>
      <c r="AD88" s="73"/>
    </row>
    <row r="89" spans="1:30" hidden="1" x14ac:dyDescent="0.25">
      <c r="A89" s="68" t="str">
        <f>[1]SourceValues!A89</f>
        <v>Tobacco counseling</v>
      </c>
      <c r="B89" s="26" t="str">
        <f>[1]SourceValues!B89</f>
        <v>D1320</v>
      </c>
      <c r="C89" s="91"/>
      <c r="D89" s="91"/>
      <c r="E89" s="91"/>
      <c r="F89" s="91"/>
      <c r="G89" s="91"/>
      <c r="H89" s="91"/>
      <c r="I89" s="91"/>
      <c r="J89" s="91"/>
      <c r="K89" s="91"/>
      <c r="L89" s="91"/>
      <c r="M89" s="91"/>
      <c r="N89" s="91"/>
      <c r="O89" s="91"/>
      <c r="P89" s="91"/>
      <c r="Q89" s="91"/>
      <c r="R89" s="91"/>
      <c r="S89" s="91"/>
      <c r="T89" s="91"/>
      <c r="U89" s="91"/>
      <c r="V89" s="91"/>
      <c r="W89" s="69"/>
      <c r="X89" s="69"/>
      <c r="Y89" s="69"/>
      <c r="Z89" s="70">
        <f t="shared" si="4"/>
        <v>0</v>
      </c>
      <c r="AA89" s="71">
        <f>[1]SourceValues!C89</f>
        <v>0.47</v>
      </c>
      <c r="AB89" s="71">
        <f>[1]SourceValues!D89</f>
        <v>0.15232699999999999</v>
      </c>
      <c r="AC89" s="72">
        <f>[1]SourceValues!E89</f>
        <v>4.936918069999999</v>
      </c>
      <c r="AD89" s="73"/>
    </row>
    <row r="90" spans="1:30" hidden="1" x14ac:dyDescent="0.25">
      <c r="A90" s="68" t="str">
        <f>[1]SourceValues!A90</f>
        <v>Radiograph-bitwing X 1</v>
      </c>
      <c r="B90" s="26" t="str">
        <f>[1]SourceValues!B90</f>
        <v>D0220</v>
      </c>
      <c r="C90" s="91"/>
      <c r="D90" s="91"/>
      <c r="E90" s="91"/>
      <c r="F90" s="91"/>
      <c r="G90" s="91"/>
      <c r="H90" s="91"/>
      <c r="I90" s="91"/>
      <c r="J90" s="91"/>
      <c r="K90" s="91"/>
      <c r="L90" s="91"/>
      <c r="M90" s="91"/>
      <c r="N90" s="91"/>
      <c r="O90" s="91"/>
      <c r="P90" s="91"/>
      <c r="Q90" s="91"/>
      <c r="R90" s="91"/>
      <c r="S90" s="91"/>
      <c r="T90" s="91"/>
      <c r="U90" s="91"/>
      <c r="V90" s="91"/>
      <c r="W90" s="69"/>
      <c r="X90" s="69"/>
      <c r="Y90" s="69"/>
      <c r="Z90" s="70">
        <f t="shared" si="4"/>
        <v>0</v>
      </c>
      <c r="AA90" s="71">
        <f>[1]SourceValues!C90</f>
        <v>0.28999999999999998</v>
      </c>
      <c r="AB90" s="71">
        <f>[1]SourceValues!D90</f>
        <v>9.3988999999999975E-2</v>
      </c>
      <c r="AC90" s="72">
        <f>[1]SourceValues!E90</f>
        <v>3.0461834899999989</v>
      </c>
      <c r="AD90" s="73"/>
    </row>
    <row r="91" spans="1:30" hidden="1" x14ac:dyDescent="0.25">
      <c r="A91" s="74" t="str">
        <f>[1]SourceValues!A91</f>
        <v>Radiograph-bitwing X 2</v>
      </c>
      <c r="B91" s="75" t="str">
        <f>[1]SourceValues!B91</f>
        <v>D0272</v>
      </c>
      <c r="C91" s="75"/>
      <c r="D91" s="75"/>
      <c r="E91" s="75"/>
      <c r="F91" s="75"/>
      <c r="G91" s="75"/>
      <c r="H91" s="75"/>
      <c r="I91" s="75"/>
      <c r="J91" s="75"/>
      <c r="K91" s="75"/>
      <c r="L91" s="75"/>
      <c r="M91" s="75"/>
      <c r="N91" s="75"/>
      <c r="O91" s="75"/>
      <c r="P91" s="75"/>
      <c r="Q91" s="75"/>
      <c r="R91" s="75"/>
      <c r="S91" s="75"/>
      <c r="T91" s="75"/>
      <c r="U91" s="75"/>
      <c r="V91" s="75"/>
      <c r="W91" s="83">
        <f t="shared" ref="W91:Y91" si="5">SUM(W73:W90)</f>
        <v>0</v>
      </c>
      <c r="X91" s="83">
        <f t="shared" si="5"/>
        <v>0</v>
      </c>
      <c r="Y91" s="83">
        <f t="shared" si="5"/>
        <v>0</v>
      </c>
      <c r="Z91" s="81">
        <f t="shared" si="4"/>
        <v>0</v>
      </c>
      <c r="AA91" s="77">
        <f>[1]SourceValues!C91</f>
        <v>0.45</v>
      </c>
      <c r="AB91" s="77">
        <f>[1]SourceValues!D91</f>
        <v>0.14584499999999997</v>
      </c>
      <c r="AC91" s="78">
        <f>[1]SourceValues!E91</f>
        <v>4.7268364499999986</v>
      </c>
      <c r="AD91" s="84"/>
    </row>
    <row r="92" spans="1:30" x14ac:dyDescent="0.25">
      <c r="A92" s="61" t="str">
        <f>SourceValues!A5</f>
        <v>Dental</v>
      </c>
      <c r="B92" s="62"/>
      <c r="C92" s="90"/>
      <c r="D92" s="90"/>
      <c r="E92" s="90"/>
      <c r="F92" s="90"/>
      <c r="G92" s="90"/>
      <c r="H92" s="90"/>
      <c r="I92" s="90"/>
      <c r="J92" s="90"/>
      <c r="K92" s="90"/>
      <c r="L92" s="90"/>
      <c r="M92" s="90"/>
      <c r="N92" s="90"/>
      <c r="O92" s="90"/>
      <c r="P92" s="90"/>
      <c r="Q92" s="90"/>
      <c r="R92" s="90"/>
      <c r="S92" s="90"/>
      <c r="T92" s="90"/>
      <c r="U92" s="90"/>
      <c r="V92" s="90"/>
      <c r="W92" s="63"/>
      <c r="X92" s="63"/>
      <c r="Y92" s="63"/>
      <c r="Z92" s="64"/>
      <c r="AA92" s="65"/>
      <c r="AB92" s="65"/>
      <c r="AC92" s="66"/>
      <c r="AD92" s="67"/>
    </row>
    <row r="93" spans="1:30" x14ac:dyDescent="0.25">
      <c r="A93" s="61"/>
      <c r="B93" s="62" t="s">
        <v>125</v>
      </c>
      <c r="C93" s="94"/>
      <c r="D93" s="94"/>
      <c r="E93" s="94"/>
      <c r="F93" s="94"/>
      <c r="G93" s="94"/>
      <c r="H93" s="94"/>
      <c r="I93" s="94"/>
      <c r="J93" s="94"/>
      <c r="K93" s="94"/>
      <c r="L93" s="94"/>
      <c r="M93" s="94"/>
      <c r="N93" s="94"/>
      <c r="O93" s="94"/>
      <c r="P93" s="94"/>
      <c r="Q93" s="94"/>
      <c r="R93" s="94"/>
      <c r="S93" s="94"/>
      <c r="T93" s="94"/>
      <c r="U93" s="94"/>
      <c r="V93" s="94"/>
      <c r="W93" s="93"/>
      <c r="X93" s="93"/>
      <c r="Y93" s="93"/>
      <c r="Z93" s="95"/>
      <c r="AA93" s="96"/>
      <c r="AB93" s="96"/>
      <c r="AC93" s="97"/>
      <c r="AD93" s="98"/>
    </row>
    <row r="94" spans="1:30" x14ac:dyDescent="0.25">
      <c r="A94" s="121" t="s">
        <v>54</v>
      </c>
      <c r="B94" s="122" t="s">
        <v>241</v>
      </c>
      <c r="C94" s="123"/>
      <c r="D94" s="124"/>
      <c r="E94" s="124"/>
      <c r="F94" s="124"/>
      <c r="G94" s="124"/>
      <c r="H94" s="124"/>
      <c r="I94" s="124"/>
      <c r="J94" s="124"/>
      <c r="K94" s="124"/>
      <c r="L94" s="124"/>
      <c r="M94" s="124"/>
      <c r="N94" s="124"/>
      <c r="O94" s="124"/>
      <c r="P94" s="124"/>
      <c r="Q94" s="124"/>
      <c r="R94" s="124"/>
      <c r="S94" s="124"/>
      <c r="T94" s="124"/>
      <c r="U94" s="124"/>
      <c r="V94" s="124"/>
      <c r="W94" s="127">
        <f>SUM(C94:N94)</f>
        <v>0</v>
      </c>
      <c r="X94" s="128">
        <f>SUM(O94:T94)</f>
        <v>0</v>
      </c>
      <c r="Y94" s="128">
        <f>SUM(U94:V94)</f>
        <v>0</v>
      </c>
      <c r="Z94" s="129">
        <f>SUM(W94:Y94)</f>
        <v>0</v>
      </c>
      <c r="AA94" s="130"/>
      <c r="AB94" s="130"/>
      <c r="AC94" s="131"/>
      <c r="AD94" s="132">
        <f t="shared" ref="AD94:AD125" si="6">Z94*AC94</f>
        <v>0</v>
      </c>
    </row>
    <row r="95" spans="1:30" x14ac:dyDescent="0.25">
      <c r="A95" s="68" t="s">
        <v>285</v>
      </c>
      <c r="B95" s="26" t="s">
        <v>200</v>
      </c>
      <c r="C95" s="7"/>
      <c r="D95" s="7"/>
      <c r="E95" s="7"/>
      <c r="F95" s="7"/>
      <c r="G95" s="7"/>
      <c r="H95" s="7"/>
      <c r="I95" s="7"/>
      <c r="J95" s="7"/>
      <c r="K95" s="7"/>
      <c r="L95" s="7"/>
      <c r="M95" s="7"/>
      <c r="N95" s="7"/>
      <c r="O95" s="7"/>
      <c r="P95" s="7"/>
      <c r="Q95" s="7"/>
      <c r="R95" s="7"/>
      <c r="S95" s="7"/>
      <c r="T95" s="7"/>
      <c r="U95" s="7"/>
      <c r="V95" s="7"/>
      <c r="W95" s="127">
        <f t="shared" ref="W95:W158" si="7">SUM(C95:N95)</f>
        <v>0</v>
      </c>
      <c r="X95" s="128">
        <f t="shared" ref="X95:X158" si="8">SUM(O95:T95)</f>
        <v>0</v>
      </c>
      <c r="Y95" s="128">
        <f t="shared" ref="Y95:Y158" si="9">SUM(U95:V95)</f>
        <v>0</v>
      </c>
      <c r="Z95" s="129">
        <f t="shared" ref="Z95:Z158" si="10">SUM(W95:Y95)</f>
        <v>0</v>
      </c>
      <c r="AA95" s="99">
        <f>VLOOKUP(B95,SourceValues!$B$6:$E$88,2,FALSE)</f>
        <v>0.62</v>
      </c>
      <c r="AB95" s="99">
        <f>VLOOKUP(B95,SourceValues!$B$6:$E$88,3,FALSE)</f>
        <v>0.71740199999999998</v>
      </c>
      <c r="AC95" s="99">
        <f>VLOOKUP(B95,SourceValues!$B$6:$E$88,4,FALSE)</f>
        <v>71.739999999999995</v>
      </c>
      <c r="AD95" s="132">
        <f t="shared" si="6"/>
        <v>0</v>
      </c>
    </row>
    <row r="96" spans="1:30" x14ac:dyDescent="0.25">
      <c r="A96" s="68" t="s">
        <v>286</v>
      </c>
      <c r="B96" s="26" t="s">
        <v>0</v>
      </c>
      <c r="C96" s="7"/>
      <c r="D96" s="7"/>
      <c r="E96" s="7"/>
      <c r="F96" s="7"/>
      <c r="G96" s="7"/>
      <c r="H96" s="7"/>
      <c r="I96" s="7"/>
      <c r="J96" s="7"/>
      <c r="K96" s="7"/>
      <c r="L96" s="7"/>
      <c r="M96" s="7"/>
      <c r="N96" s="7"/>
      <c r="O96" s="7"/>
      <c r="P96" s="7"/>
      <c r="Q96" s="7"/>
      <c r="R96" s="7"/>
      <c r="S96" s="7"/>
      <c r="T96" s="7"/>
      <c r="U96" s="7"/>
      <c r="V96" s="7"/>
      <c r="W96" s="127">
        <f t="shared" si="7"/>
        <v>0</v>
      </c>
      <c r="X96" s="128">
        <f t="shared" si="8"/>
        <v>0</v>
      </c>
      <c r="Y96" s="128">
        <f t="shared" si="9"/>
        <v>0</v>
      </c>
      <c r="Z96" s="129">
        <f t="shared" si="10"/>
        <v>0</v>
      </c>
      <c r="AA96" s="99">
        <f>VLOOKUP(B96,SourceValues!$B$6:$E$88,2,FALSE)</f>
        <v>0.93</v>
      </c>
      <c r="AB96" s="99">
        <f>VLOOKUP(B96,SourceValues!$B$6:$E$88,3,FALSE)</f>
        <v>1.076103</v>
      </c>
      <c r="AC96" s="99">
        <f>VLOOKUP(B96,SourceValues!$B$6:$E$88,4,FALSE)</f>
        <v>107.61</v>
      </c>
      <c r="AD96" s="132">
        <f t="shared" si="6"/>
        <v>0</v>
      </c>
    </row>
    <row r="97" spans="1:30" x14ac:dyDescent="0.25">
      <c r="A97" s="68" t="s">
        <v>262</v>
      </c>
      <c r="B97" s="26" t="s">
        <v>261</v>
      </c>
      <c r="C97" s="7"/>
      <c r="D97" s="7"/>
      <c r="E97" s="7"/>
      <c r="F97" s="7"/>
      <c r="G97" s="7"/>
      <c r="H97" s="7"/>
      <c r="I97" s="7"/>
      <c r="J97" s="7"/>
      <c r="K97" s="7"/>
      <c r="L97" s="7"/>
      <c r="M97" s="7"/>
      <c r="N97" s="7"/>
      <c r="O97" s="7"/>
      <c r="P97" s="7"/>
      <c r="Q97" s="7"/>
      <c r="R97" s="7"/>
      <c r="S97" s="7"/>
      <c r="T97" s="7"/>
      <c r="U97" s="7"/>
      <c r="V97" s="7"/>
      <c r="W97" s="127"/>
      <c r="X97" s="128"/>
      <c r="Y97" s="128"/>
      <c r="Z97" s="129"/>
      <c r="AA97" s="99">
        <f>VLOOKUP(B97,SourceValues!$B$6:$E$88,2,FALSE)</f>
        <v>0.91</v>
      </c>
      <c r="AB97" s="99">
        <f>VLOOKUP(B97,SourceValues!$B$6:$E$88,3,FALSE)</f>
        <v>1.052961</v>
      </c>
      <c r="AC97" s="99">
        <f>VLOOKUP(B97,SourceValues!$B$6:$E$88,4,FALSE)</f>
        <v>105.3</v>
      </c>
      <c r="AD97" s="132">
        <f t="shared" si="6"/>
        <v>0</v>
      </c>
    </row>
    <row r="98" spans="1:30" x14ac:dyDescent="0.25">
      <c r="A98" s="68" t="s">
        <v>287</v>
      </c>
      <c r="B98" s="26" t="s">
        <v>1</v>
      </c>
      <c r="C98" s="7"/>
      <c r="D98" s="7"/>
      <c r="E98" s="7"/>
      <c r="F98" s="7"/>
      <c r="G98" s="7"/>
      <c r="H98" s="7"/>
      <c r="I98" s="7"/>
      <c r="J98" s="7"/>
      <c r="K98" s="7"/>
      <c r="L98" s="7"/>
      <c r="M98" s="7"/>
      <c r="N98" s="7"/>
      <c r="O98" s="7"/>
      <c r="P98" s="7"/>
      <c r="Q98" s="7"/>
      <c r="R98" s="7"/>
      <c r="S98" s="7"/>
      <c r="T98" s="7"/>
      <c r="U98" s="7"/>
      <c r="V98" s="7"/>
      <c r="W98" s="127">
        <f t="shared" si="7"/>
        <v>0</v>
      </c>
      <c r="X98" s="128">
        <f t="shared" si="8"/>
        <v>0</v>
      </c>
      <c r="Y98" s="128">
        <f t="shared" si="9"/>
        <v>0</v>
      </c>
      <c r="Z98" s="129">
        <f t="shared" si="10"/>
        <v>0</v>
      </c>
      <c r="AA98" s="99">
        <f>VLOOKUP(B98,SourceValues!$B$6:$E$88,2,FALSE)</f>
        <v>1.05</v>
      </c>
      <c r="AB98" s="99">
        <f>VLOOKUP(B98,SourceValues!$B$6:$E$88,3,FALSE)</f>
        <v>1.214955</v>
      </c>
      <c r="AC98" s="99">
        <f>VLOOKUP(B98,SourceValues!$B$6:$E$88,4,FALSE)</f>
        <v>121.5</v>
      </c>
      <c r="AD98" s="132">
        <f t="shared" si="6"/>
        <v>0</v>
      </c>
    </row>
    <row r="99" spans="1:30" x14ac:dyDescent="0.25">
      <c r="A99" s="68" t="s">
        <v>288</v>
      </c>
      <c r="B99" s="26" t="s">
        <v>2</v>
      </c>
      <c r="C99" s="7"/>
      <c r="D99" s="7"/>
      <c r="E99" s="7"/>
      <c r="F99" s="7"/>
      <c r="G99" s="7"/>
      <c r="H99" s="7"/>
      <c r="I99" s="7"/>
      <c r="J99" s="7"/>
      <c r="K99" s="7"/>
      <c r="L99" s="7"/>
      <c r="M99" s="7"/>
      <c r="N99" s="7"/>
      <c r="O99" s="7"/>
      <c r="P99" s="7"/>
      <c r="Q99" s="7"/>
      <c r="R99" s="7"/>
      <c r="S99" s="7"/>
      <c r="T99" s="7"/>
      <c r="U99" s="7"/>
      <c r="V99" s="7"/>
      <c r="W99" s="127">
        <f t="shared" si="7"/>
        <v>0</v>
      </c>
      <c r="X99" s="128">
        <f t="shared" si="8"/>
        <v>0</v>
      </c>
      <c r="Y99" s="128">
        <f t="shared" si="9"/>
        <v>0</v>
      </c>
      <c r="Z99" s="129">
        <f t="shared" si="10"/>
        <v>0</v>
      </c>
      <c r="AA99" s="99">
        <f>VLOOKUP(B99,SourceValues!$B$6:$E$88,2,FALSE)</f>
        <v>1.58</v>
      </c>
      <c r="AB99" s="99">
        <f>VLOOKUP(B99,SourceValues!$B$6:$E$88,3,FALSE)</f>
        <v>1.8282179999999999</v>
      </c>
      <c r="AC99" s="99">
        <f>VLOOKUP(B99,SourceValues!$B$6:$E$88,4,FALSE)</f>
        <v>182.82</v>
      </c>
      <c r="AD99" s="132">
        <f t="shared" si="6"/>
        <v>0</v>
      </c>
    </row>
    <row r="100" spans="1:30" x14ac:dyDescent="0.25">
      <c r="A100" s="68" t="s">
        <v>263</v>
      </c>
      <c r="B100" s="26" t="s">
        <v>260</v>
      </c>
      <c r="C100" s="7"/>
      <c r="D100" s="7"/>
      <c r="E100" s="7"/>
      <c r="F100" s="7"/>
      <c r="G100" s="7"/>
      <c r="H100" s="7"/>
      <c r="I100" s="7"/>
      <c r="J100" s="7"/>
      <c r="K100" s="7"/>
      <c r="L100" s="7"/>
      <c r="M100" s="7"/>
      <c r="N100" s="7"/>
      <c r="O100" s="7"/>
      <c r="P100" s="7"/>
      <c r="Q100" s="7"/>
      <c r="R100" s="7"/>
      <c r="S100" s="7"/>
      <c r="T100" s="7"/>
      <c r="U100" s="7"/>
      <c r="V100" s="7"/>
      <c r="W100" s="127">
        <f t="shared" si="7"/>
        <v>0</v>
      </c>
      <c r="X100" s="128">
        <f t="shared" si="8"/>
        <v>0</v>
      </c>
      <c r="Y100" s="128">
        <f t="shared" si="9"/>
        <v>0</v>
      </c>
      <c r="Z100" s="129">
        <f t="shared" si="10"/>
        <v>0</v>
      </c>
      <c r="AA100" s="99">
        <f>VLOOKUP(B100,SourceValues!$B$6:$E$88,2,FALSE)</f>
        <v>0.75</v>
      </c>
      <c r="AB100" s="99">
        <f>VLOOKUP(B100,SourceValues!$B$6:$E$88,3,FALSE)</f>
        <v>0.86782499999999996</v>
      </c>
      <c r="AC100" s="99">
        <f>VLOOKUP(B100,SourceValues!$B$6:$E$88,4,FALSE)</f>
        <v>86.78</v>
      </c>
      <c r="AD100" s="132">
        <f t="shared" si="6"/>
        <v>0</v>
      </c>
    </row>
    <row r="101" spans="1:30" x14ac:dyDescent="0.25">
      <c r="A101" s="68" t="s">
        <v>289</v>
      </c>
      <c r="B101" s="26" t="s">
        <v>201</v>
      </c>
      <c r="C101" s="7"/>
      <c r="D101" s="7"/>
      <c r="E101" s="7"/>
      <c r="F101" s="7"/>
      <c r="G101" s="7"/>
      <c r="H101" s="7"/>
      <c r="I101" s="7"/>
      <c r="J101" s="7"/>
      <c r="K101" s="7"/>
      <c r="L101" s="7"/>
      <c r="M101" s="7"/>
      <c r="N101" s="7"/>
      <c r="O101" s="7"/>
      <c r="P101" s="7"/>
      <c r="Q101" s="7"/>
      <c r="R101" s="7"/>
      <c r="S101" s="7"/>
      <c r="T101" s="7"/>
      <c r="U101" s="7"/>
      <c r="V101" s="7"/>
      <c r="W101" s="127">
        <f t="shared" si="7"/>
        <v>0</v>
      </c>
      <c r="X101" s="128">
        <f t="shared" si="8"/>
        <v>0</v>
      </c>
      <c r="Y101" s="128">
        <f t="shared" si="9"/>
        <v>0</v>
      </c>
      <c r="Z101" s="129">
        <f t="shared" si="10"/>
        <v>0</v>
      </c>
      <c r="AA101" s="99">
        <f>VLOOKUP(B101,SourceValues!$B$6:$E$88,2,FALSE)</f>
        <v>0.5</v>
      </c>
      <c r="AB101" s="99">
        <f>VLOOKUP(B101,SourceValues!$B$6:$E$88,3,FALSE)</f>
        <v>0.57855000000000001</v>
      </c>
      <c r="AC101" s="99">
        <f>VLOOKUP(B101,SourceValues!$B$6:$E$88,4,FALSE)</f>
        <v>57.86</v>
      </c>
      <c r="AD101" s="132">
        <f t="shared" si="6"/>
        <v>0</v>
      </c>
    </row>
    <row r="102" spans="1:30" x14ac:dyDescent="0.25">
      <c r="A102" s="68" t="s">
        <v>290</v>
      </c>
      <c r="B102" s="26" t="s">
        <v>202</v>
      </c>
      <c r="C102" s="7"/>
      <c r="D102" s="7"/>
      <c r="E102" s="7"/>
      <c r="F102" s="7"/>
      <c r="G102" s="7"/>
      <c r="H102" s="7"/>
      <c r="I102" s="7"/>
      <c r="J102" s="7"/>
      <c r="K102" s="7"/>
      <c r="L102" s="7"/>
      <c r="M102" s="7"/>
      <c r="N102" s="7"/>
      <c r="O102" s="7"/>
      <c r="P102" s="7"/>
      <c r="Q102" s="7"/>
      <c r="R102" s="7"/>
      <c r="S102" s="7"/>
      <c r="T102" s="7"/>
      <c r="U102" s="7"/>
      <c r="V102" s="7"/>
      <c r="W102" s="127">
        <f t="shared" si="7"/>
        <v>0</v>
      </c>
      <c r="X102" s="128">
        <f t="shared" si="8"/>
        <v>0</v>
      </c>
      <c r="Y102" s="128">
        <f t="shared" si="9"/>
        <v>0</v>
      </c>
      <c r="Z102" s="129">
        <f t="shared" si="10"/>
        <v>0</v>
      </c>
      <c r="AA102" s="99">
        <f>VLOOKUP(B102,SourceValues!$B$6:$E$88,2,FALSE)</f>
        <v>1.64</v>
      </c>
      <c r="AB102" s="99">
        <f>VLOOKUP(B102,SourceValues!$B$6:$E$88,3,FALSE)</f>
        <v>1.8976439999999997</v>
      </c>
      <c r="AC102" s="99">
        <f>VLOOKUP(B102,SourceValues!$B$6:$E$88,4,FALSE)</f>
        <v>189.77</v>
      </c>
      <c r="AD102" s="132">
        <f t="shared" si="6"/>
        <v>0</v>
      </c>
    </row>
    <row r="103" spans="1:30" x14ac:dyDescent="0.25">
      <c r="A103" s="68" t="s">
        <v>291</v>
      </c>
      <c r="B103" s="26" t="s">
        <v>31</v>
      </c>
      <c r="C103" s="7"/>
      <c r="D103" s="7"/>
      <c r="E103" s="7"/>
      <c r="F103" s="7"/>
      <c r="G103" s="7"/>
      <c r="H103" s="7"/>
      <c r="I103" s="7"/>
      <c r="J103" s="7"/>
      <c r="K103" s="7"/>
      <c r="L103" s="7"/>
      <c r="M103" s="7"/>
      <c r="N103" s="7"/>
      <c r="O103" s="7"/>
      <c r="P103" s="7"/>
      <c r="Q103" s="7"/>
      <c r="R103" s="7"/>
      <c r="S103" s="7"/>
      <c r="T103" s="7"/>
      <c r="U103" s="7"/>
      <c r="V103" s="7"/>
      <c r="W103" s="127">
        <f t="shared" si="7"/>
        <v>0</v>
      </c>
      <c r="X103" s="128">
        <f t="shared" si="8"/>
        <v>0</v>
      </c>
      <c r="Y103" s="128">
        <f t="shared" si="9"/>
        <v>0</v>
      </c>
      <c r="Z103" s="129">
        <f t="shared" si="10"/>
        <v>0</v>
      </c>
      <c r="AA103" s="99">
        <f>VLOOKUP(B103,SourceValues!$B$6:$E$88,2,FALSE)</f>
        <v>0.36</v>
      </c>
      <c r="AB103" s="99">
        <f>VLOOKUP(B103,SourceValues!$B$6:$E$88,3,FALSE)</f>
        <v>0.41655599999999998</v>
      </c>
      <c r="AC103" s="99">
        <f>VLOOKUP(B103,SourceValues!$B$6:$E$88,4,FALSE)</f>
        <v>41.66</v>
      </c>
      <c r="AD103" s="132">
        <f t="shared" si="6"/>
        <v>0</v>
      </c>
    </row>
    <row r="104" spans="1:30" x14ac:dyDescent="0.25">
      <c r="A104" s="68" t="s">
        <v>292</v>
      </c>
      <c r="B104" s="26" t="s">
        <v>42</v>
      </c>
      <c r="C104" s="7"/>
      <c r="D104" s="7"/>
      <c r="E104" s="7"/>
      <c r="F104" s="7"/>
      <c r="G104" s="7"/>
      <c r="H104" s="7"/>
      <c r="I104" s="7"/>
      <c r="J104" s="7"/>
      <c r="K104" s="7"/>
      <c r="L104" s="7"/>
      <c r="M104" s="7"/>
      <c r="N104" s="7"/>
      <c r="O104" s="7"/>
      <c r="P104" s="7"/>
      <c r="Q104" s="7"/>
      <c r="R104" s="7"/>
      <c r="S104" s="7"/>
      <c r="T104" s="7"/>
      <c r="U104" s="7"/>
      <c r="V104" s="7"/>
      <c r="W104" s="127">
        <f t="shared" si="7"/>
        <v>0</v>
      </c>
      <c r="X104" s="128">
        <f t="shared" si="8"/>
        <v>0</v>
      </c>
      <c r="Y104" s="128">
        <f t="shared" si="9"/>
        <v>0</v>
      </c>
      <c r="Z104" s="129">
        <f t="shared" si="10"/>
        <v>0</v>
      </c>
      <c r="AA104" s="99">
        <f>VLOOKUP(B104,SourceValues!$B$6:$E$88,2,FALSE)</f>
        <v>0.3</v>
      </c>
      <c r="AB104" s="99">
        <f>VLOOKUP(B104,SourceValues!$B$6:$E$88,3,FALSE)</f>
        <v>0.34712999999999994</v>
      </c>
      <c r="AC104" s="99">
        <f>VLOOKUP(B104,SourceValues!$B$6:$E$88,4,FALSE)</f>
        <v>34.71</v>
      </c>
      <c r="AD104" s="132">
        <f t="shared" si="6"/>
        <v>0</v>
      </c>
    </row>
    <row r="105" spans="1:30" x14ac:dyDescent="0.25">
      <c r="A105" s="68" t="s">
        <v>293</v>
      </c>
      <c r="B105" s="26" t="s">
        <v>203</v>
      </c>
      <c r="C105" s="7"/>
      <c r="D105" s="7"/>
      <c r="E105" s="7"/>
      <c r="F105" s="7"/>
      <c r="G105" s="7"/>
      <c r="H105" s="7"/>
      <c r="I105" s="7"/>
      <c r="J105" s="7"/>
      <c r="K105" s="7"/>
      <c r="L105" s="7"/>
      <c r="M105" s="7"/>
      <c r="N105" s="7"/>
      <c r="O105" s="7"/>
      <c r="P105" s="7"/>
      <c r="Q105" s="7"/>
      <c r="R105" s="7"/>
      <c r="S105" s="7"/>
      <c r="T105" s="7"/>
      <c r="U105" s="7"/>
      <c r="V105" s="7"/>
      <c r="W105" s="127">
        <f t="shared" si="7"/>
        <v>0</v>
      </c>
      <c r="X105" s="128">
        <f t="shared" si="8"/>
        <v>0</v>
      </c>
      <c r="Y105" s="128">
        <f t="shared" si="9"/>
        <v>0</v>
      </c>
      <c r="Z105" s="129">
        <f t="shared" si="10"/>
        <v>0</v>
      </c>
      <c r="AA105" s="99">
        <f>VLOOKUP(B105,SourceValues!$B$6:$E$88,2,FALSE)</f>
        <v>0.44</v>
      </c>
      <c r="AB105" s="99">
        <f>VLOOKUP(B105,SourceValues!$B$6:$E$88,3,FALSE)</f>
        <v>0.50912400000000002</v>
      </c>
      <c r="AC105" s="99">
        <f>VLOOKUP(B105,SourceValues!$B$6:$E$88,4,FALSE)</f>
        <v>50.91</v>
      </c>
      <c r="AD105" s="132">
        <f t="shared" si="6"/>
        <v>0</v>
      </c>
    </row>
    <row r="106" spans="1:30" x14ac:dyDescent="0.25">
      <c r="A106" s="68" t="s">
        <v>294</v>
      </c>
      <c r="B106" s="26" t="s">
        <v>204</v>
      </c>
      <c r="C106" s="7"/>
      <c r="D106" s="7"/>
      <c r="E106" s="7"/>
      <c r="F106" s="7"/>
      <c r="G106" s="7"/>
      <c r="H106" s="7"/>
      <c r="I106" s="7"/>
      <c r="J106" s="7"/>
      <c r="K106" s="7"/>
      <c r="L106" s="7"/>
      <c r="M106" s="7"/>
      <c r="N106" s="7"/>
      <c r="O106" s="7"/>
      <c r="P106" s="7"/>
      <c r="Q106" s="7"/>
      <c r="R106" s="7"/>
      <c r="S106" s="7"/>
      <c r="T106" s="7"/>
      <c r="U106" s="7"/>
      <c r="V106" s="7"/>
      <c r="W106" s="127">
        <f t="shared" si="7"/>
        <v>0</v>
      </c>
      <c r="X106" s="128">
        <f t="shared" si="8"/>
        <v>0</v>
      </c>
      <c r="Y106" s="128">
        <f t="shared" si="9"/>
        <v>0</v>
      </c>
      <c r="Z106" s="129">
        <f t="shared" si="10"/>
        <v>0</v>
      </c>
      <c r="AA106" s="99">
        <f>VLOOKUP(B106,SourceValues!$B$6:$E$88,2,FALSE)</f>
        <v>0.37</v>
      </c>
      <c r="AB106" s="99">
        <f>VLOOKUP(B106,SourceValues!$B$6:$E$88,3,FALSE)</f>
        <v>0.42812699999999998</v>
      </c>
      <c r="AC106" s="99">
        <f>VLOOKUP(B106,SourceValues!$B$6:$E$88,4,FALSE)</f>
        <v>42.81</v>
      </c>
      <c r="AD106" s="132">
        <f t="shared" si="6"/>
        <v>0</v>
      </c>
    </row>
    <row r="107" spans="1:30" x14ac:dyDescent="0.25">
      <c r="A107" s="68" t="s">
        <v>295</v>
      </c>
      <c r="B107" s="26" t="s">
        <v>32</v>
      </c>
      <c r="C107" s="7"/>
      <c r="D107" s="7"/>
      <c r="E107" s="7"/>
      <c r="F107" s="7"/>
      <c r="G107" s="7"/>
      <c r="H107" s="7"/>
      <c r="I107" s="7"/>
      <c r="J107" s="7"/>
      <c r="K107" s="7"/>
      <c r="L107" s="7"/>
      <c r="M107" s="7"/>
      <c r="N107" s="7"/>
      <c r="O107" s="7"/>
      <c r="P107" s="7"/>
      <c r="Q107" s="7"/>
      <c r="R107" s="7"/>
      <c r="S107" s="7"/>
      <c r="T107" s="7"/>
      <c r="U107" s="7"/>
      <c r="V107" s="7"/>
      <c r="W107" s="127">
        <f t="shared" si="7"/>
        <v>0</v>
      </c>
      <c r="X107" s="128">
        <f t="shared" si="8"/>
        <v>0</v>
      </c>
      <c r="Y107" s="128">
        <f t="shared" si="9"/>
        <v>0</v>
      </c>
      <c r="Z107" s="129">
        <f t="shared" si="10"/>
        <v>0</v>
      </c>
      <c r="AA107" s="99">
        <f>VLOOKUP(B107,SourceValues!$B$6:$E$88,2,FALSE)</f>
        <v>0.55000000000000004</v>
      </c>
      <c r="AB107" s="99">
        <f>VLOOKUP(B107,SourceValues!$B$6:$E$88,3,FALSE)</f>
        <v>0.636405</v>
      </c>
      <c r="AC107" s="99">
        <f>VLOOKUP(B107,SourceValues!$B$6:$E$88,4,FALSE)</f>
        <v>63.64</v>
      </c>
      <c r="AD107" s="132">
        <f t="shared" si="6"/>
        <v>0</v>
      </c>
    </row>
    <row r="108" spans="1:30" x14ac:dyDescent="0.25">
      <c r="A108" s="68" t="s">
        <v>264</v>
      </c>
      <c r="B108" s="26" t="s">
        <v>259</v>
      </c>
      <c r="C108" s="7"/>
      <c r="D108" s="7"/>
      <c r="E108" s="7"/>
      <c r="F108" s="7"/>
      <c r="G108" s="7"/>
      <c r="H108" s="7"/>
      <c r="I108" s="7"/>
      <c r="J108" s="7"/>
      <c r="K108" s="7"/>
      <c r="L108" s="7"/>
      <c r="M108" s="7"/>
      <c r="N108" s="7"/>
      <c r="O108" s="7"/>
      <c r="P108" s="7"/>
      <c r="Q108" s="7"/>
      <c r="R108" s="7"/>
      <c r="S108" s="7"/>
      <c r="T108" s="7"/>
      <c r="U108" s="7"/>
      <c r="V108" s="7"/>
      <c r="W108" s="127">
        <f t="shared" si="7"/>
        <v>0</v>
      </c>
      <c r="X108" s="128">
        <f t="shared" si="8"/>
        <v>0</v>
      </c>
      <c r="Y108" s="128">
        <f t="shared" si="9"/>
        <v>0</v>
      </c>
      <c r="Z108" s="129">
        <f t="shared" si="10"/>
        <v>0</v>
      </c>
      <c r="AA108" s="99">
        <f>VLOOKUP(B108,SourceValues!$B$6:$E$88,2,FALSE)</f>
        <v>0.63</v>
      </c>
      <c r="AB108" s="99">
        <f>VLOOKUP(B108,SourceValues!$B$6:$E$88,3,FALSE)</f>
        <v>0.72897299999999998</v>
      </c>
      <c r="AC108" s="99">
        <f>VLOOKUP(B108,SourceValues!$B$6:$E$88,4,FALSE)</f>
        <v>72.900000000000006</v>
      </c>
      <c r="AD108" s="132">
        <f t="shared" si="6"/>
        <v>0</v>
      </c>
    </row>
    <row r="109" spans="1:30" x14ac:dyDescent="0.25">
      <c r="A109" s="68" t="s">
        <v>296</v>
      </c>
      <c r="B109" s="26" t="s">
        <v>33</v>
      </c>
      <c r="C109" s="7"/>
      <c r="D109" s="7"/>
      <c r="E109" s="7"/>
      <c r="F109" s="7"/>
      <c r="G109" s="7"/>
      <c r="H109" s="7"/>
      <c r="I109" s="7"/>
      <c r="J109" s="7"/>
      <c r="K109" s="7"/>
      <c r="L109" s="7"/>
      <c r="M109" s="7"/>
      <c r="N109" s="7"/>
      <c r="O109" s="7"/>
      <c r="P109" s="7"/>
      <c r="Q109" s="7"/>
      <c r="R109" s="7"/>
      <c r="S109" s="7"/>
      <c r="T109" s="7"/>
      <c r="U109" s="7"/>
      <c r="V109" s="7"/>
      <c r="W109" s="127">
        <f t="shared" si="7"/>
        <v>0</v>
      </c>
      <c r="X109" s="128">
        <f t="shared" si="8"/>
        <v>0</v>
      </c>
      <c r="Y109" s="128">
        <f t="shared" si="9"/>
        <v>0</v>
      </c>
      <c r="Z109" s="129">
        <f t="shared" si="10"/>
        <v>0</v>
      </c>
      <c r="AA109" s="99">
        <f>VLOOKUP(B109,SourceValues!$B$6:$E$88,2,FALSE)</f>
        <v>0.76</v>
      </c>
      <c r="AB109" s="99">
        <f>VLOOKUP(B109,SourceValues!$B$6:$E$88,3,FALSE)</f>
        <v>0.87939599999999996</v>
      </c>
      <c r="AC109" s="99">
        <f>VLOOKUP(B109,SourceValues!$B$6:$E$88,4,FALSE)</f>
        <v>87.94</v>
      </c>
      <c r="AD109" s="132">
        <f t="shared" si="6"/>
        <v>0</v>
      </c>
    </row>
    <row r="110" spans="1:30" x14ac:dyDescent="0.25">
      <c r="A110" s="68" t="s">
        <v>297</v>
      </c>
      <c r="B110" s="26" t="s">
        <v>205</v>
      </c>
      <c r="C110" s="7"/>
      <c r="D110" s="7"/>
      <c r="E110" s="7"/>
      <c r="F110" s="7"/>
      <c r="G110" s="7"/>
      <c r="H110" s="7"/>
      <c r="I110" s="7"/>
      <c r="J110" s="7"/>
      <c r="K110" s="7"/>
      <c r="L110" s="7"/>
      <c r="M110" s="7"/>
      <c r="N110" s="7"/>
      <c r="O110" s="7"/>
      <c r="P110" s="7"/>
      <c r="Q110" s="7"/>
      <c r="R110" s="7"/>
      <c r="S110" s="7"/>
      <c r="T110" s="7"/>
      <c r="U110" s="7"/>
      <c r="V110" s="7"/>
      <c r="W110" s="127">
        <f t="shared" si="7"/>
        <v>0</v>
      </c>
      <c r="X110" s="128">
        <f t="shared" si="8"/>
        <v>0</v>
      </c>
      <c r="Y110" s="128">
        <f t="shared" si="9"/>
        <v>0</v>
      </c>
      <c r="Z110" s="129">
        <f t="shared" si="10"/>
        <v>0</v>
      </c>
      <c r="AA110" s="99">
        <f>VLOOKUP(B110,SourceValues!$B$6:$E$88,2,FALSE)</f>
        <v>1.37</v>
      </c>
      <c r="AB110" s="99">
        <f>VLOOKUP(B110,SourceValues!$B$6:$E$88,3,FALSE)</f>
        <v>1.5852270000000002</v>
      </c>
      <c r="AC110" s="99">
        <f>VLOOKUP(B110,SourceValues!$B$6:$E$88,4,FALSE)</f>
        <v>158.52000000000001</v>
      </c>
      <c r="AD110" s="132">
        <f t="shared" si="6"/>
        <v>0</v>
      </c>
    </row>
    <row r="111" spans="1:30" x14ac:dyDescent="0.25">
      <c r="A111" s="68" t="s">
        <v>298</v>
      </c>
      <c r="B111" s="26" t="s">
        <v>206</v>
      </c>
      <c r="C111" s="7"/>
      <c r="D111" s="7"/>
      <c r="E111" s="7"/>
      <c r="F111" s="7"/>
      <c r="G111" s="7"/>
      <c r="H111" s="7"/>
      <c r="I111" s="7"/>
      <c r="J111" s="7"/>
      <c r="K111" s="7"/>
      <c r="L111" s="7"/>
      <c r="M111" s="7"/>
      <c r="N111" s="7"/>
      <c r="O111" s="7"/>
      <c r="P111" s="7"/>
      <c r="Q111" s="7"/>
      <c r="R111" s="7"/>
      <c r="S111" s="7"/>
      <c r="T111" s="7"/>
      <c r="U111" s="7"/>
      <c r="V111" s="7"/>
      <c r="W111" s="127">
        <f t="shared" si="7"/>
        <v>0</v>
      </c>
      <c r="X111" s="128">
        <f t="shared" si="8"/>
        <v>0</v>
      </c>
      <c r="Y111" s="128">
        <f t="shared" si="9"/>
        <v>0</v>
      </c>
      <c r="Z111" s="129">
        <f t="shared" si="10"/>
        <v>0</v>
      </c>
      <c r="AA111" s="99">
        <f>VLOOKUP(B111,SourceValues!$B$6:$E$88,2,FALSE)</f>
        <v>0</v>
      </c>
      <c r="AB111" s="99">
        <f>VLOOKUP(B111,SourceValues!$B$6:$E$88,3,FALSE)</f>
        <v>0</v>
      </c>
      <c r="AC111" s="99">
        <f>VLOOKUP(B111,SourceValues!$B$6:$E$88,4,FALSE)</f>
        <v>0</v>
      </c>
      <c r="AD111" s="132">
        <f t="shared" si="6"/>
        <v>0</v>
      </c>
    </row>
    <row r="112" spans="1:30" x14ac:dyDescent="0.25">
      <c r="A112" s="68" t="s">
        <v>299</v>
      </c>
      <c r="B112" s="26" t="s">
        <v>12</v>
      </c>
      <c r="C112" s="7"/>
      <c r="D112" s="7"/>
      <c r="E112" s="7"/>
      <c r="F112" s="7"/>
      <c r="G112" s="7"/>
      <c r="H112" s="7"/>
      <c r="I112" s="7"/>
      <c r="J112" s="7"/>
      <c r="K112" s="7"/>
      <c r="L112" s="7"/>
      <c r="M112" s="7"/>
      <c r="N112" s="7"/>
      <c r="O112" s="7"/>
      <c r="P112" s="7"/>
      <c r="Q112" s="7"/>
      <c r="R112" s="7"/>
      <c r="S112" s="7"/>
      <c r="T112" s="7"/>
      <c r="U112" s="7"/>
      <c r="V112" s="7"/>
      <c r="W112" s="127">
        <f t="shared" si="7"/>
        <v>0</v>
      </c>
      <c r="X112" s="128">
        <f t="shared" si="8"/>
        <v>0</v>
      </c>
      <c r="Y112" s="128">
        <f t="shared" si="9"/>
        <v>0</v>
      </c>
      <c r="Z112" s="129">
        <f t="shared" si="10"/>
        <v>0</v>
      </c>
      <c r="AA112" s="99">
        <f>VLOOKUP(B112,SourceValues!$B$6:$E$88,2,FALSE)</f>
        <v>1.08</v>
      </c>
      <c r="AB112" s="99">
        <f>VLOOKUP(B112,SourceValues!$B$6:$E$88,3,FALSE)</f>
        <v>1.249668</v>
      </c>
      <c r="AC112" s="99">
        <f>VLOOKUP(B112,SourceValues!$B$6:$E$88,4,FALSE)</f>
        <v>124.97</v>
      </c>
      <c r="AD112" s="132">
        <f t="shared" si="6"/>
        <v>0</v>
      </c>
    </row>
    <row r="113" spans="1:30" x14ac:dyDescent="0.25">
      <c r="A113" s="68" t="s">
        <v>300</v>
      </c>
      <c r="B113" s="26" t="s">
        <v>38</v>
      </c>
      <c r="C113" s="7"/>
      <c r="D113" s="7"/>
      <c r="E113" s="7"/>
      <c r="F113" s="7"/>
      <c r="G113" s="7"/>
      <c r="H113" s="7"/>
      <c r="I113" s="7"/>
      <c r="J113" s="7"/>
      <c r="K113" s="7"/>
      <c r="L113" s="7"/>
      <c r="M113" s="7"/>
      <c r="N113" s="7"/>
      <c r="O113" s="7"/>
      <c r="P113" s="7"/>
      <c r="Q113" s="7"/>
      <c r="R113" s="7"/>
      <c r="S113" s="7"/>
      <c r="T113" s="7"/>
      <c r="U113" s="7"/>
      <c r="V113" s="7"/>
      <c r="W113" s="127">
        <f t="shared" si="7"/>
        <v>0</v>
      </c>
      <c r="X113" s="128">
        <f t="shared" si="8"/>
        <v>0</v>
      </c>
      <c r="Y113" s="128">
        <f t="shared" si="9"/>
        <v>0</v>
      </c>
      <c r="Z113" s="129">
        <f t="shared" si="10"/>
        <v>0</v>
      </c>
      <c r="AA113" s="99">
        <f>VLOOKUP(B113,SourceValues!$B$6:$E$88,2,FALSE)</f>
        <v>0.84</v>
      </c>
      <c r="AB113" s="99">
        <f>VLOOKUP(B113,SourceValues!$B$6:$E$88,3,FALSE)</f>
        <v>0.97196399999999994</v>
      </c>
      <c r="AC113" s="99">
        <f>VLOOKUP(B113,SourceValues!$B$6:$E$88,4,FALSE)</f>
        <v>97.2</v>
      </c>
      <c r="AD113" s="132">
        <f t="shared" si="6"/>
        <v>0</v>
      </c>
    </row>
    <row r="114" spans="1:30" x14ac:dyDescent="0.25">
      <c r="A114" s="68" t="s">
        <v>301</v>
      </c>
      <c r="B114" s="26" t="s">
        <v>207</v>
      </c>
      <c r="C114" s="7"/>
      <c r="D114" s="7"/>
      <c r="E114" s="7"/>
      <c r="F114" s="7"/>
      <c r="G114" s="7"/>
      <c r="H114" s="7"/>
      <c r="I114" s="7"/>
      <c r="J114" s="7"/>
      <c r="K114" s="7"/>
      <c r="L114" s="7"/>
      <c r="M114" s="7"/>
      <c r="N114" s="7"/>
      <c r="O114" s="7"/>
      <c r="P114" s="7"/>
      <c r="Q114" s="7"/>
      <c r="R114" s="7"/>
      <c r="S114" s="7"/>
      <c r="T114" s="7"/>
      <c r="U114" s="7"/>
      <c r="V114" s="7"/>
      <c r="W114" s="127">
        <f t="shared" si="7"/>
        <v>0</v>
      </c>
      <c r="X114" s="128">
        <f t="shared" si="8"/>
        <v>0</v>
      </c>
      <c r="Y114" s="128">
        <f t="shared" si="9"/>
        <v>0</v>
      </c>
      <c r="Z114" s="129">
        <f t="shared" si="10"/>
        <v>0</v>
      </c>
      <c r="AA114" s="99">
        <f>VLOOKUP(B114,SourceValues!$B$6:$E$88,2,FALSE)</f>
        <v>0.5</v>
      </c>
      <c r="AB114" s="99">
        <f>VLOOKUP(B114,SourceValues!$B$6:$E$88,3,FALSE)</f>
        <v>0.57855000000000001</v>
      </c>
      <c r="AC114" s="99">
        <f>VLOOKUP(B114,SourceValues!$B$6:$E$88,4,FALSE)</f>
        <v>57.86</v>
      </c>
      <c r="AD114" s="132">
        <f t="shared" si="6"/>
        <v>0</v>
      </c>
    </row>
    <row r="115" spans="1:30" x14ac:dyDescent="0.25">
      <c r="A115" s="68" t="s">
        <v>302</v>
      </c>
      <c r="B115" s="26" t="s">
        <v>29</v>
      </c>
      <c r="C115" s="7"/>
      <c r="D115" s="7"/>
      <c r="E115" s="7"/>
      <c r="F115" s="7"/>
      <c r="G115" s="7"/>
      <c r="H115" s="7"/>
      <c r="I115" s="7"/>
      <c r="J115" s="7"/>
      <c r="K115" s="7"/>
      <c r="L115" s="7"/>
      <c r="M115" s="7"/>
      <c r="N115" s="7"/>
      <c r="O115" s="7"/>
      <c r="P115" s="7"/>
      <c r="Q115" s="7"/>
      <c r="R115" s="7"/>
      <c r="S115" s="7"/>
      <c r="T115" s="7"/>
      <c r="U115" s="7"/>
      <c r="V115" s="7"/>
      <c r="W115" s="127">
        <f t="shared" si="7"/>
        <v>0</v>
      </c>
      <c r="X115" s="128">
        <f t="shared" si="8"/>
        <v>0</v>
      </c>
      <c r="Y115" s="128">
        <f t="shared" si="9"/>
        <v>0</v>
      </c>
      <c r="Z115" s="129">
        <f t="shared" si="10"/>
        <v>0</v>
      </c>
      <c r="AA115" s="99">
        <f>VLOOKUP(B115,SourceValues!$B$6:$E$88,2,FALSE)</f>
        <v>0.59</v>
      </c>
      <c r="AB115" s="99">
        <f>VLOOKUP(B115,SourceValues!$B$6:$E$88,3,FALSE)</f>
        <v>0.68268899999999988</v>
      </c>
      <c r="AC115" s="99">
        <f>VLOOKUP(B115,SourceValues!$B$6:$E$88,4,FALSE)</f>
        <v>68.27</v>
      </c>
      <c r="AD115" s="132">
        <f t="shared" si="6"/>
        <v>0</v>
      </c>
    </row>
    <row r="116" spans="1:30" x14ac:dyDescent="0.25">
      <c r="A116" s="68" t="s">
        <v>303</v>
      </c>
      <c r="B116" s="26" t="s">
        <v>30</v>
      </c>
      <c r="C116" s="7"/>
      <c r="D116" s="7"/>
      <c r="E116" s="7"/>
      <c r="F116" s="7"/>
      <c r="G116" s="7"/>
      <c r="H116" s="7"/>
      <c r="I116" s="7"/>
      <c r="J116" s="7"/>
      <c r="K116" s="7"/>
      <c r="L116" s="7"/>
      <c r="M116" s="7"/>
      <c r="N116" s="7"/>
      <c r="O116" s="7"/>
      <c r="P116" s="7"/>
      <c r="Q116" s="7"/>
      <c r="R116" s="7"/>
      <c r="S116" s="7"/>
      <c r="T116" s="7"/>
      <c r="U116" s="7"/>
      <c r="V116" s="7"/>
      <c r="W116" s="127">
        <f t="shared" si="7"/>
        <v>0</v>
      </c>
      <c r="X116" s="128">
        <f t="shared" si="8"/>
        <v>0</v>
      </c>
      <c r="Y116" s="128">
        <f t="shared" si="9"/>
        <v>0</v>
      </c>
      <c r="Z116" s="129">
        <f t="shared" si="10"/>
        <v>0</v>
      </c>
      <c r="AA116" s="99">
        <f>VLOOKUP(B116,SourceValues!$B$6:$E$88,2,FALSE)</f>
        <v>0.56999999999999995</v>
      </c>
      <c r="AB116" s="99">
        <f>VLOOKUP(B116,SourceValues!$B$6:$E$88,3,FALSE)</f>
        <v>0.65954699999999988</v>
      </c>
      <c r="AC116" s="99">
        <f>VLOOKUP(B116,SourceValues!$B$6:$E$88,4,FALSE)</f>
        <v>65.959999999999994</v>
      </c>
      <c r="AD116" s="132">
        <f t="shared" si="6"/>
        <v>0</v>
      </c>
    </row>
    <row r="117" spans="1:30" x14ac:dyDescent="0.25">
      <c r="A117" s="68" t="s">
        <v>265</v>
      </c>
      <c r="B117" s="26" t="s">
        <v>258</v>
      </c>
      <c r="C117" s="7"/>
      <c r="D117" s="7"/>
      <c r="E117" s="7"/>
      <c r="F117" s="7"/>
      <c r="G117" s="7"/>
      <c r="H117" s="7"/>
      <c r="I117" s="7"/>
      <c r="J117" s="7"/>
      <c r="K117" s="7"/>
      <c r="L117" s="7"/>
      <c r="M117" s="7"/>
      <c r="N117" s="7"/>
      <c r="O117" s="7"/>
      <c r="P117" s="7"/>
      <c r="Q117" s="7"/>
      <c r="R117" s="7"/>
      <c r="S117" s="7"/>
      <c r="T117" s="7"/>
      <c r="U117" s="7"/>
      <c r="V117" s="7"/>
      <c r="W117" s="127">
        <f t="shared" si="7"/>
        <v>0</v>
      </c>
      <c r="X117" s="128">
        <f t="shared" si="8"/>
        <v>0</v>
      </c>
      <c r="Y117" s="128">
        <f t="shared" si="9"/>
        <v>0</v>
      </c>
      <c r="Z117" s="129">
        <f t="shared" si="10"/>
        <v>0</v>
      </c>
      <c r="AA117" s="99">
        <f>VLOOKUP(B117,SourceValues!$B$6:$E$88,2,FALSE)</f>
        <v>0.57999999999999996</v>
      </c>
      <c r="AB117" s="99">
        <f>VLOOKUP(B117,SourceValues!$B$6:$E$88,3,FALSE)</f>
        <v>0.67111799999999988</v>
      </c>
      <c r="AC117" s="99">
        <f>VLOOKUP(B117,SourceValues!$B$6:$E$88,4,FALSE)</f>
        <v>67.11</v>
      </c>
      <c r="AD117" s="132">
        <f t="shared" si="6"/>
        <v>0</v>
      </c>
    </row>
    <row r="118" spans="1:30" x14ac:dyDescent="0.25">
      <c r="A118" s="68" t="s">
        <v>266</v>
      </c>
      <c r="B118" s="26" t="s">
        <v>223</v>
      </c>
      <c r="C118" s="7"/>
      <c r="D118" s="7"/>
      <c r="E118" s="7"/>
      <c r="F118" s="7"/>
      <c r="G118" s="7"/>
      <c r="H118" s="7"/>
      <c r="I118" s="7"/>
      <c r="J118" s="7"/>
      <c r="K118" s="7"/>
      <c r="L118" s="7"/>
      <c r="M118" s="7"/>
      <c r="N118" s="7"/>
      <c r="O118" s="7"/>
      <c r="P118" s="7"/>
      <c r="Q118" s="7"/>
      <c r="R118" s="7"/>
      <c r="S118" s="7"/>
      <c r="T118" s="7"/>
      <c r="U118" s="7"/>
      <c r="V118" s="7"/>
      <c r="W118" s="127">
        <f t="shared" si="7"/>
        <v>0</v>
      </c>
      <c r="X118" s="128">
        <f t="shared" si="8"/>
        <v>0</v>
      </c>
      <c r="Y118" s="128">
        <f t="shared" si="9"/>
        <v>0</v>
      </c>
      <c r="Z118" s="129">
        <f t="shared" si="10"/>
        <v>0</v>
      </c>
      <c r="AA118" s="99">
        <f>VLOOKUP(B118,SourceValues!$B$6:$E$88,2,FALSE)</f>
        <v>0.7</v>
      </c>
      <c r="AB118" s="99">
        <f>VLOOKUP(B118,SourceValues!$B$6:$E$88,3,FALSE)</f>
        <v>0.80996999999999986</v>
      </c>
      <c r="AC118" s="99">
        <f>VLOOKUP(B118,SourceValues!$B$6:$E$88,4,FALSE)</f>
        <v>81</v>
      </c>
      <c r="AD118" s="132">
        <f t="shared" si="6"/>
        <v>0</v>
      </c>
    </row>
    <row r="119" spans="1:30" x14ac:dyDescent="0.25">
      <c r="A119" s="68" t="s">
        <v>266</v>
      </c>
      <c r="B119" s="26" t="s">
        <v>257</v>
      </c>
      <c r="C119" s="7"/>
      <c r="D119" s="7"/>
      <c r="E119" s="7"/>
      <c r="F119" s="7"/>
      <c r="G119" s="7"/>
      <c r="H119" s="7"/>
      <c r="I119" s="7"/>
      <c r="J119" s="7"/>
      <c r="K119" s="7"/>
      <c r="L119" s="7"/>
      <c r="M119" s="7"/>
      <c r="N119" s="7"/>
      <c r="O119" s="7"/>
      <c r="P119" s="7"/>
      <c r="Q119" s="7"/>
      <c r="R119" s="7"/>
      <c r="S119" s="7"/>
      <c r="T119" s="7"/>
      <c r="U119" s="7"/>
      <c r="V119" s="7"/>
      <c r="W119" s="127">
        <f t="shared" si="7"/>
        <v>0</v>
      </c>
      <c r="X119" s="128">
        <f t="shared" si="8"/>
        <v>0</v>
      </c>
      <c r="Y119" s="128">
        <f t="shared" si="9"/>
        <v>0</v>
      </c>
      <c r="Z119" s="129">
        <f t="shared" si="10"/>
        <v>0</v>
      </c>
      <c r="AA119" s="99">
        <f>VLOOKUP(B119,SourceValues!$B$6:$E$88,2,FALSE)</f>
        <v>0.67</v>
      </c>
      <c r="AB119" s="99">
        <f>VLOOKUP(B119,SourceValues!$B$6:$E$88,3,FALSE)</f>
        <v>0.77525699999999997</v>
      </c>
      <c r="AC119" s="99">
        <f>VLOOKUP(B119,SourceValues!$B$6:$E$88,4,FALSE)</f>
        <v>77.53</v>
      </c>
      <c r="AD119" s="132">
        <f t="shared" si="6"/>
        <v>0</v>
      </c>
    </row>
    <row r="120" spans="1:30" x14ac:dyDescent="0.25">
      <c r="A120" s="68" t="s">
        <v>266</v>
      </c>
      <c r="B120" s="26" t="s">
        <v>256</v>
      </c>
      <c r="C120" s="7"/>
      <c r="D120" s="7"/>
      <c r="E120" s="7"/>
      <c r="F120" s="7"/>
      <c r="G120" s="7"/>
      <c r="H120" s="7"/>
      <c r="I120" s="7"/>
      <c r="J120" s="7"/>
      <c r="K120" s="7"/>
      <c r="L120" s="7"/>
      <c r="M120" s="7"/>
      <c r="N120" s="7"/>
      <c r="O120" s="7"/>
      <c r="P120" s="7"/>
      <c r="Q120" s="7"/>
      <c r="R120" s="7"/>
      <c r="S120" s="7"/>
      <c r="T120" s="7"/>
      <c r="U120" s="7"/>
      <c r="V120" s="7"/>
      <c r="W120" s="127">
        <f t="shared" si="7"/>
        <v>0</v>
      </c>
      <c r="X120" s="128">
        <f t="shared" si="8"/>
        <v>0</v>
      </c>
      <c r="Y120" s="128">
        <f t="shared" si="9"/>
        <v>0</v>
      </c>
      <c r="Z120" s="129">
        <f t="shared" si="10"/>
        <v>0</v>
      </c>
      <c r="AA120" s="99">
        <f>VLOOKUP(B120,SourceValues!$B$6:$E$88,2,FALSE)</f>
        <v>1.0900000000000001</v>
      </c>
      <c r="AB120" s="99">
        <f>VLOOKUP(B120,SourceValues!$B$6:$E$88,3,FALSE)</f>
        <v>1.261239</v>
      </c>
      <c r="AC120" s="99">
        <f>VLOOKUP(B120,SourceValues!$B$6:$E$88,4,FALSE)</f>
        <v>126.12</v>
      </c>
      <c r="AD120" s="132">
        <f t="shared" si="6"/>
        <v>0</v>
      </c>
    </row>
    <row r="121" spans="1:30" x14ac:dyDescent="0.25">
      <c r="A121" s="68" t="s">
        <v>304</v>
      </c>
      <c r="B121" s="26" t="s">
        <v>208</v>
      </c>
      <c r="C121" s="7"/>
      <c r="D121" s="7"/>
      <c r="E121" s="7"/>
      <c r="F121" s="7"/>
      <c r="G121" s="7"/>
      <c r="H121" s="7"/>
      <c r="I121" s="7"/>
      <c r="J121" s="7"/>
      <c r="K121" s="7"/>
      <c r="L121" s="7"/>
      <c r="M121" s="7"/>
      <c r="N121" s="7"/>
      <c r="O121" s="7"/>
      <c r="P121" s="7"/>
      <c r="Q121" s="7"/>
      <c r="R121" s="7"/>
      <c r="S121" s="7"/>
      <c r="T121" s="7"/>
      <c r="U121" s="7"/>
      <c r="V121" s="7"/>
      <c r="W121" s="127">
        <f t="shared" si="7"/>
        <v>0</v>
      </c>
      <c r="X121" s="128">
        <f t="shared" si="8"/>
        <v>0</v>
      </c>
      <c r="Y121" s="128">
        <f t="shared" si="9"/>
        <v>0</v>
      </c>
      <c r="Z121" s="129">
        <f t="shared" si="10"/>
        <v>0</v>
      </c>
      <c r="AA121" s="99">
        <f>VLOOKUP(B121,SourceValues!$B$6:$E$88,2,FALSE)</f>
        <v>0.52</v>
      </c>
      <c r="AB121" s="99">
        <f>VLOOKUP(B121,SourceValues!$B$6:$E$88,3,FALSE)</f>
        <v>0.601692</v>
      </c>
      <c r="AC121" s="99">
        <f>VLOOKUP(B121,SourceValues!$B$6:$E$88,4,FALSE)</f>
        <v>60.17</v>
      </c>
      <c r="AD121" s="132">
        <f t="shared" si="6"/>
        <v>0</v>
      </c>
    </row>
    <row r="122" spans="1:30" x14ac:dyDescent="0.25">
      <c r="A122" s="68" t="s">
        <v>305</v>
      </c>
      <c r="B122" s="26" t="s">
        <v>13</v>
      </c>
      <c r="C122" s="7"/>
      <c r="D122" s="7"/>
      <c r="E122" s="7"/>
      <c r="F122" s="7"/>
      <c r="G122" s="7"/>
      <c r="H122" s="7"/>
      <c r="I122" s="7"/>
      <c r="J122" s="7"/>
      <c r="K122" s="7"/>
      <c r="L122" s="7"/>
      <c r="M122" s="7"/>
      <c r="N122" s="7"/>
      <c r="O122" s="7"/>
      <c r="P122" s="7"/>
      <c r="Q122" s="7"/>
      <c r="R122" s="7"/>
      <c r="S122" s="7"/>
      <c r="T122" s="7"/>
      <c r="U122" s="7"/>
      <c r="V122" s="7"/>
      <c r="W122" s="127">
        <f t="shared" si="7"/>
        <v>0</v>
      </c>
      <c r="X122" s="128">
        <f t="shared" si="8"/>
        <v>0</v>
      </c>
      <c r="Y122" s="128">
        <f t="shared" si="9"/>
        <v>0</v>
      </c>
      <c r="Z122" s="129">
        <f t="shared" si="10"/>
        <v>0</v>
      </c>
      <c r="AA122" s="99">
        <f>VLOOKUP(B122,SourceValues!$B$6:$E$88,2,FALSE)</f>
        <v>1.61</v>
      </c>
      <c r="AB122" s="99">
        <f>VLOOKUP(B122,SourceValues!$B$6:$E$88,3,FALSE)</f>
        <v>1.8629310000000001</v>
      </c>
      <c r="AC122" s="99">
        <f>VLOOKUP(B122,SourceValues!$B$6:$E$88,4,FALSE)</f>
        <v>186.29</v>
      </c>
      <c r="AD122" s="132">
        <f t="shared" si="6"/>
        <v>0</v>
      </c>
    </row>
    <row r="123" spans="1:30" x14ac:dyDescent="0.25">
      <c r="A123" s="68" t="s">
        <v>306</v>
      </c>
      <c r="B123" s="26" t="s">
        <v>14</v>
      </c>
      <c r="C123" s="7"/>
      <c r="D123" s="7"/>
      <c r="E123" s="7"/>
      <c r="F123" s="7"/>
      <c r="G123" s="7"/>
      <c r="H123" s="7"/>
      <c r="I123" s="7"/>
      <c r="J123" s="7"/>
      <c r="K123" s="7"/>
      <c r="L123" s="7"/>
      <c r="M123" s="7"/>
      <c r="N123" s="7"/>
      <c r="O123" s="7"/>
      <c r="P123" s="7"/>
      <c r="Q123" s="7"/>
      <c r="R123" s="7"/>
      <c r="S123" s="7"/>
      <c r="T123" s="7"/>
      <c r="U123" s="7"/>
      <c r="V123" s="7"/>
      <c r="W123" s="127">
        <f t="shared" si="7"/>
        <v>0</v>
      </c>
      <c r="X123" s="128">
        <f t="shared" si="8"/>
        <v>0</v>
      </c>
      <c r="Y123" s="128">
        <f t="shared" si="9"/>
        <v>0</v>
      </c>
      <c r="Z123" s="129">
        <f t="shared" si="10"/>
        <v>0</v>
      </c>
      <c r="AA123" s="99">
        <f>VLOOKUP(B123,SourceValues!$B$6:$E$88,2,FALSE)</f>
        <v>1.95</v>
      </c>
      <c r="AB123" s="99">
        <f>VLOOKUP(B123,SourceValues!$B$6:$E$88,3,FALSE)</f>
        <v>2.2563449999999996</v>
      </c>
      <c r="AC123" s="99">
        <f>VLOOKUP(B123,SourceValues!$B$6:$E$88,4,FALSE)</f>
        <v>225.64</v>
      </c>
      <c r="AD123" s="132">
        <f t="shared" si="6"/>
        <v>0</v>
      </c>
    </row>
    <row r="124" spans="1:30" x14ac:dyDescent="0.25">
      <c r="A124" s="68" t="s">
        <v>307</v>
      </c>
      <c r="B124" s="26" t="s">
        <v>15</v>
      </c>
      <c r="C124" s="7"/>
      <c r="D124" s="7"/>
      <c r="E124" s="7"/>
      <c r="F124" s="7"/>
      <c r="G124" s="7"/>
      <c r="H124" s="7"/>
      <c r="I124" s="7"/>
      <c r="J124" s="7"/>
      <c r="K124" s="7"/>
      <c r="L124" s="7"/>
      <c r="M124" s="7"/>
      <c r="N124" s="7"/>
      <c r="O124" s="7"/>
      <c r="P124" s="7"/>
      <c r="Q124" s="7"/>
      <c r="R124" s="7"/>
      <c r="S124" s="7"/>
      <c r="T124" s="7"/>
      <c r="U124" s="7"/>
      <c r="V124" s="7"/>
      <c r="W124" s="127">
        <f t="shared" si="7"/>
        <v>0</v>
      </c>
      <c r="X124" s="128">
        <f t="shared" si="8"/>
        <v>0</v>
      </c>
      <c r="Y124" s="128">
        <f t="shared" si="9"/>
        <v>0</v>
      </c>
      <c r="Z124" s="129">
        <f t="shared" si="10"/>
        <v>0</v>
      </c>
      <c r="AA124" s="99">
        <f>VLOOKUP(B124,SourceValues!$B$6:$E$88,2,FALSE)</f>
        <v>2.29</v>
      </c>
      <c r="AB124" s="99">
        <f>VLOOKUP(B124,SourceValues!$B$6:$E$88,3,FALSE)</f>
        <v>2.6497589999999995</v>
      </c>
      <c r="AC124" s="99">
        <f>VLOOKUP(B124,SourceValues!$B$6:$E$88,4,FALSE)</f>
        <v>264.98</v>
      </c>
      <c r="AD124" s="132">
        <f t="shared" si="6"/>
        <v>0</v>
      </c>
    </row>
    <row r="125" spans="1:30" x14ac:dyDescent="0.25">
      <c r="A125" s="68" t="s">
        <v>308</v>
      </c>
      <c r="B125" s="26" t="s">
        <v>16</v>
      </c>
      <c r="C125" s="7"/>
      <c r="D125" s="7"/>
      <c r="E125" s="7"/>
      <c r="F125" s="7"/>
      <c r="G125" s="7"/>
      <c r="H125" s="7"/>
      <c r="I125" s="7"/>
      <c r="J125" s="7"/>
      <c r="K125" s="7"/>
      <c r="L125" s="7"/>
      <c r="M125" s="7"/>
      <c r="N125" s="7"/>
      <c r="O125" s="7"/>
      <c r="P125" s="7"/>
      <c r="Q125" s="7"/>
      <c r="R125" s="7"/>
      <c r="S125" s="7"/>
      <c r="T125" s="7"/>
      <c r="U125" s="7"/>
      <c r="V125" s="7"/>
      <c r="W125" s="127">
        <f t="shared" si="7"/>
        <v>0</v>
      </c>
      <c r="X125" s="128">
        <f t="shared" si="8"/>
        <v>0</v>
      </c>
      <c r="Y125" s="128">
        <f t="shared" si="9"/>
        <v>0</v>
      </c>
      <c r="Z125" s="129">
        <f t="shared" si="10"/>
        <v>0</v>
      </c>
      <c r="AA125" s="99">
        <f>VLOOKUP(B125,SourceValues!$B$6:$E$88,2,FALSE)</f>
        <v>2.5499999999999998</v>
      </c>
      <c r="AB125" s="99">
        <f>VLOOKUP(B125,SourceValues!$B$6:$E$88,3,FALSE)</f>
        <v>2.9506049999999999</v>
      </c>
      <c r="AC125" s="99">
        <f>VLOOKUP(B125,SourceValues!$B$6:$E$88,4,FALSE)</f>
        <v>295.06</v>
      </c>
      <c r="AD125" s="132">
        <f t="shared" si="6"/>
        <v>0</v>
      </c>
    </row>
    <row r="126" spans="1:30" x14ac:dyDescent="0.25">
      <c r="A126" s="68" t="s">
        <v>309</v>
      </c>
      <c r="B126" s="26" t="s">
        <v>17</v>
      </c>
      <c r="C126" s="7"/>
      <c r="D126" s="7"/>
      <c r="E126" s="7"/>
      <c r="F126" s="7"/>
      <c r="G126" s="7"/>
      <c r="H126" s="7"/>
      <c r="I126" s="7"/>
      <c r="J126" s="7"/>
      <c r="K126" s="7"/>
      <c r="L126" s="7"/>
      <c r="M126" s="7"/>
      <c r="N126" s="7"/>
      <c r="O126" s="7"/>
      <c r="P126" s="7"/>
      <c r="Q126" s="7"/>
      <c r="R126" s="7"/>
      <c r="S126" s="7"/>
      <c r="T126" s="7"/>
      <c r="U126" s="7"/>
      <c r="V126" s="7"/>
      <c r="W126" s="127">
        <f t="shared" si="7"/>
        <v>0</v>
      </c>
      <c r="X126" s="128">
        <f t="shared" si="8"/>
        <v>0</v>
      </c>
      <c r="Y126" s="128">
        <f t="shared" si="9"/>
        <v>0</v>
      </c>
      <c r="Z126" s="129">
        <f t="shared" si="10"/>
        <v>0</v>
      </c>
      <c r="AA126" s="99">
        <f>VLOOKUP(B126,SourceValues!$B$6:$E$88,2,FALSE)</f>
        <v>1.92</v>
      </c>
      <c r="AB126" s="99">
        <f>VLOOKUP(B126,SourceValues!$B$6:$E$88,3,FALSE)</f>
        <v>2.2216320000000001</v>
      </c>
      <c r="AC126" s="99">
        <f>VLOOKUP(B126,SourceValues!$B$6:$E$88,4,FALSE)</f>
        <v>222.16</v>
      </c>
      <c r="AD126" s="132">
        <f t="shared" ref="AD126:AD157" si="11">Z126*AC126</f>
        <v>0</v>
      </c>
    </row>
    <row r="127" spans="1:30" x14ac:dyDescent="0.25">
      <c r="A127" s="68" t="s">
        <v>310</v>
      </c>
      <c r="B127" s="26" t="s">
        <v>18</v>
      </c>
      <c r="C127" s="7"/>
      <c r="D127" s="7"/>
      <c r="E127" s="7"/>
      <c r="F127" s="7"/>
      <c r="G127" s="7"/>
      <c r="H127" s="7"/>
      <c r="I127" s="7"/>
      <c r="J127" s="7"/>
      <c r="K127" s="7"/>
      <c r="L127" s="7"/>
      <c r="M127" s="7"/>
      <c r="N127" s="7"/>
      <c r="O127" s="7"/>
      <c r="P127" s="7"/>
      <c r="Q127" s="7"/>
      <c r="R127" s="7"/>
      <c r="S127" s="7"/>
      <c r="T127" s="7"/>
      <c r="U127" s="7"/>
      <c r="V127" s="7"/>
      <c r="W127" s="127">
        <f t="shared" si="7"/>
        <v>0</v>
      </c>
      <c r="X127" s="128">
        <f t="shared" si="8"/>
        <v>0</v>
      </c>
      <c r="Y127" s="128">
        <f t="shared" si="9"/>
        <v>0</v>
      </c>
      <c r="Z127" s="129">
        <f t="shared" si="10"/>
        <v>0</v>
      </c>
      <c r="AA127" s="99">
        <f>VLOOKUP(B127,SourceValues!$B$6:$E$88,2,FALSE)</f>
        <v>2.33</v>
      </c>
      <c r="AB127" s="99">
        <f>VLOOKUP(B127,SourceValues!$B$6:$E$88,3,FALSE)</f>
        <v>2.6960429999999995</v>
      </c>
      <c r="AC127" s="99">
        <f>VLOOKUP(B127,SourceValues!$B$6:$E$88,4,FALSE)</f>
        <v>269.61</v>
      </c>
      <c r="AD127" s="132">
        <f t="shared" si="11"/>
        <v>0</v>
      </c>
    </row>
    <row r="128" spans="1:30" x14ac:dyDescent="0.25">
      <c r="A128" s="68" t="s">
        <v>311</v>
      </c>
      <c r="B128" s="26" t="s">
        <v>19</v>
      </c>
      <c r="C128" s="7"/>
      <c r="D128" s="7"/>
      <c r="E128" s="7"/>
      <c r="F128" s="7"/>
      <c r="G128" s="7"/>
      <c r="H128" s="7"/>
      <c r="I128" s="7"/>
      <c r="J128" s="7"/>
      <c r="K128" s="7"/>
      <c r="L128" s="7"/>
      <c r="M128" s="7"/>
      <c r="N128" s="7"/>
      <c r="O128" s="7"/>
      <c r="P128" s="7"/>
      <c r="Q128" s="7"/>
      <c r="R128" s="7"/>
      <c r="S128" s="7"/>
      <c r="T128" s="7"/>
      <c r="U128" s="7"/>
      <c r="V128" s="7"/>
      <c r="W128" s="127">
        <f t="shared" si="7"/>
        <v>0</v>
      </c>
      <c r="X128" s="128">
        <f t="shared" si="8"/>
        <v>0</v>
      </c>
      <c r="Y128" s="128">
        <f t="shared" si="9"/>
        <v>0</v>
      </c>
      <c r="Z128" s="129">
        <f t="shared" si="10"/>
        <v>0</v>
      </c>
      <c r="AA128" s="99">
        <f>VLOOKUP(B128,SourceValues!$B$6:$E$88,2,FALSE)</f>
        <v>2.82</v>
      </c>
      <c r="AB128" s="99">
        <f>VLOOKUP(B128,SourceValues!$B$6:$E$88,3,FALSE)</f>
        <v>3.2630219999999999</v>
      </c>
      <c r="AC128" s="99">
        <f>VLOOKUP(B128,SourceValues!$B$6:$E$88,4,FALSE)</f>
        <v>326.3</v>
      </c>
      <c r="AD128" s="132">
        <f t="shared" si="11"/>
        <v>0</v>
      </c>
    </row>
    <row r="129" spans="1:30" x14ac:dyDescent="0.25">
      <c r="A129" s="68" t="s">
        <v>312</v>
      </c>
      <c r="B129" s="26" t="s">
        <v>20</v>
      </c>
      <c r="C129" s="7"/>
      <c r="D129" s="7"/>
      <c r="E129" s="7"/>
      <c r="F129" s="7"/>
      <c r="G129" s="7"/>
      <c r="H129" s="7"/>
      <c r="I129" s="7"/>
      <c r="J129" s="7"/>
      <c r="K129" s="7"/>
      <c r="L129" s="7"/>
      <c r="M129" s="7"/>
      <c r="N129" s="7"/>
      <c r="O129" s="7"/>
      <c r="P129" s="7"/>
      <c r="Q129" s="7"/>
      <c r="R129" s="7"/>
      <c r="S129" s="7"/>
      <c r="T129" s="7"/>
      <c r="U129" s="7"/>
      <c r="V129" s="7"/>
      <c r="W129" s="127">
        <f t="shared" si="7"/>
        <v>0</v>
      </c>
      <c r="X129" s="128">
        <f t="shared" si="8"/>
        <v>0</v>
      </c>
      <c r="Y129" s="128">
        <f t="shared" si="9"/>
        <v>0</v>
      </c>
      <c r="Z129" s="129">
        <f t="shared" si="10"/>
        <v>0</v>
      </c>
      <c r="AA129" s="99">
        <f>VLOOKUP(B129,SourceValues!$B$6:$E$88,2,FALSE)</f>
        <v>3.48</v>
      </c>
      <c r="AB129" s="99">
        <f>VLOOKUP(B129,SourceValues!$B$6:$E$88,3,FALSE)</f>
        <v>4.0267080000000002</v>
      </c>
      <c r="AC129" s="99">
        <f>VLOOKUP(B129,SourceValues!$B$6:$E$88,4,FALSE)</f>
        <v>402.67</v>
      </c>
      <c r="AD129" s="132">
        <f t="shared" si="11"/>
        <v>0</v>
      </c>
    </row>
    <row r="130" spans="1:30" x14ac:dyDescent="0.25">
      <c r="A130" s="68" t="s">
        <v>313</v>
      </c>
      <c r="B130" s="26" t="s">
        <v>21</v>
      </c>
      <c r="C130" s="7"/>
      <c r="D130" s="7"/>
      <c r="E130" s="7"/>
      <c r="F130" s="7"/>
      <c r="G130" s="7"/>
      <c r="H130" s="7"/>
      <c r="I130" s="7"/>
      <c r="J130" s="7"/>
      <c r="K130" s="7"/>
      <c r="L130" s="7"/>
      <c r="M130" s="7"/>
      <c r="N130" s="7"/>
      <c r="O130" s="7"/>
      <c r="P130" s="7"/>
      <c r="Q130" s="7"/>
      <c r="R130" s="7"/>
      <c r="S130" s="7"/>
      <c r="T130" s="7"/>
      <c r="U130" s="7"/>
      <c r="V130" s="7"/>
      <c r="W130" s="127">
        <f t="shared" si="7"/>
        <v>0</v>
      </c>
      <c r="X130" s="128">
        <f t="shared" si="8"/>
        <v>0</v>
      </c>
      <c r="Y130" s="128">
        <f t="shared" si="9"/>
        <v>0</v>
      </c>
      <c r="Z130" s="129">
        <f t="shared" si="10"/>
        <v>0</v>
      </c>
      <c r="AA130" s="99">
        <f>VLOOKUP(B130,SourceValues!$B$6:$E$88,2,FALSE)</f>
        <v>2.11</v>
      </c>
      <c r="AB130" s="99">
        <f>VLOOKUP(B130,SourceValues!$B$6:$E$88,3,FALSE)</f>
        <v>2.4414809999999996</v>
      </c>
      <c r="AC130" s="99">
        <f>VLOOKUP(B130,SourceValues!$B$6:$E$88,4,FALSE)</f>
        <v>244.15</v>
      </c>
      <c r="AD130" s="132">
        <f t="shared" si="11"/>
        <v>0</v>
      </c>
    </row>
    <row r="131" spans="1:30" x14ac:dyDescent="0.25">
      <c r="A131" s="68" t="s">
        <v>314</v>
      </c>
      <c r="B131" s="26" t="s">
        <v>22</v>
      </c>
      <c r="C131" s="7"/>
      <c r="D131" s="7"/>
      <c r="E131" s="7"/>
      <c r="F131" s="7"/>
      <c r="G131" s="7"/>
      <c r="H131" s="7"/>
      <c r="I131" s="7"/>
      <c r="J131" s="7"/>
      <c r="K131" s="7"/>
      <c r="L131" s="7"/>
      <c r="M131" s="7"/>
      <c r="N131" s="7"/>
      <c r="O131" s="7"/>
      <c r="P131" s="7"/>
      <c r="Q131" s="7"/>
      <c r="R131" s="7"/>
      <c r="S131" s="7"/>
      <c r="T131" s="7"/>
      <c r="U131" s="7"/>
      <c r="V131" s="7"/>
      <c r="W131" s="127">
        <f t="shared" si="7"/>
        <v>0</v>
      </c>
      <c r="X131" s="128">
        <f t="shared" si="8"/>
        <v>0</v>
      </c>
      <c r="Y131" s="128">
        <f t="shared" si="9"/>
        <v>0</v>
      </c>
      <c r="Z131" s="129">
        <f t="shared" si="10"/>
        <v>0</v>
      </c>
      <c r="AA131" s="99">
        <f>VLOOKUP(B131,SourceValues!$B$6:$E$88,2,FALSE)</f>
        <v>2.68</v>
      </c>
      <c r="AB131" s="99">
        <f>VLOOKUP(B131,SourceValues!$B$6:$E$88,3,FALSE)</f>
        <v>3.1010279999999999</v>
      </c>
      <c r="AC131" s="99">
        <f>VLOOKUP(B131,SourceValues!$B$6:$E$88,4,FALSE)</f>
        <v>310.11</v>
      </c>
      <c r="AD131" s="132">
        <f t="shared" si="11"/>
        <v>0</v>
      </c>
    </row>
    <row r="132" spans="1:30" x14ac:dyDescent="0.25">
      <c r="A132" s="68" t="s">
        <v>315</v>
      </c>
      <c r="B132" s="26" t="s">
        <v>23</v>
      </c>
      <c r="C132" s="7"/>
      <c r="D132" s="7"/>
      <c r="E132" s="7"/>
      <c r="F132" s="7"/>
      <c r="G132" s="7"/>
      <c r="H132" s="7"/>
      <c r="I132" s="7"/>
      <c r="J132" s="7"/>
      <c r="K132" s="7"/>
      <c r="L132" s="7"/>
      <c r="M132" s="7"/>
      <c r="N132" s="7"/>
      <c r="O132" s="7"/>
      <c r="P132" s="7"/>
      <c r="Q132" s="7"/>
      <c r="R132" s="7"/>
      <c r="S132" s="7"/>
      <c r="T132" s="7"/>
      <c r="U132" s="7"/>
      <c r="V132" s="7"/>
      <c r="W132" s="127">
        <f t="shared" si="7"/>
        <v>0</v>
      </c>
      <c r="X132" s="128">
        <f t="shared" si="8"/>
        <v>0</v>
      </c>
      <c r="Y132" s="128">
        <f t="shared" si="9"/>
        <v>0</v>
      </c>
      <c r="Z132" s="129">
        <f t="shared" si="10"/>
        <v>0</v>
      </c>
      <c r="AA132" s="99">
        <f>VLOOKUP(B132,SourceValues!$B$6:$E$88,2,FALSE)</f>
        <v>3.23</v>
      </c>
      <c r="AB132" s="99">
        <f>VLOOKUP(B132,SourceValues!$B$6:$E$88,3,FALSE)</f>
        <v>3.7374329999999998</v>
      </c>
      <c r="AC132" s="99">
        <f>VLOOKUP(B132,SourceValues!$B$6:$E$88,4,FALSE)</f>
        <v>373.75</v>
      </c>
      <c r="AD132" s="132">
        <f t="shared" si="11"/>
        <v>0</v>
      </c>
    </row>
    <row r="133" spans="1:30" x14ac:dyDescent="0.25">
      <c r="A133" s="68" t="s">
        <v>316</v>
      </c>
      <c r="B133" s="26" t="s">
        <v>24</v>
      </c>
      <c r="C133" s="7"/>
      <c r="D133" s="7"/>
      <c r="E133" s="7"/>
      <c r="F133" s="7"/>
      <c r="G133" s="7"/>
      <c r="H133" s="7"/>
      <c r="I133" s="7"/>
      <c r="J133" s="7"/>
      <c r="K133" s="7"/>
      <c r="L133" s="7"/>
      <c r="M133" s="7"/>
      <c r="N133" s="7"/>
      <c r="O133" s="7"/>
      <c r="P133" s="7"/>
      <c r="Q133" s="7"/>
      <c r="R133" s="7"/>
      <c r="S133" s="7"/>
      <c r="T133" s="7"/>
      <c r="U133" s="7"/>
      <c r="V133" s="7"/>
      <c r="W133" s="127">
        <f t="shared" si="7"/>
        <v>0</v>
      </c>
      <c r="X133" s="128">
        <f t="shared" si="8"/>
        <v>0</v>
      </c>
      <c r="Y133" s="128">
        <f t="shared" si="9"/>
        <v>0</v>
      </c>
      <c r="Z133" s="129">
        <f t="shared" si="10"/>
        <v>0</v>
      </c>
      <c r="AA133" s="99">
        <f>VLOOKUP(B133,SourceValues!$B$6:$E$88,2,FALSE)</f>
        <v>3.77</v>
      </c>
      <c r="AB133" s="99">
        <f>VLOOKUP(B133,SourceValues!$B$6:$E$88,3,FALSE)</f>
        <v>4.3622670000000001</v>
      </c>
      <c r="AC133" s="99">
        <f>VLOOKUP(B133,SourceValues!$B$6:$E$88,4,FALSE)</f>
        <v>436.23</v>
      </c>
      <c r="AD133" s="132">
        <f t="shared" si="11"/>
        <v>0</v>
      </c>
    </row>
    <row r="134" spans="1:30" x14ac:dyDescent="0.25">
      <c r="A134" s="68" t="s">
        <v>270</v>
      </c>
      <c r="B134" s="26" t="s">
        <v>255</v>
      </c>
      <c r="C134" s="7"/>
      <c r="D134" s="7"/>
      <c r="E134" s="7"/>
      <c r="F134" s="7"/>
      <c r="G134" s="7"/>
      <c r="H134" s="7"/>
      <c r="I134" s="7"/>
      <c r="J134" s="7"/>
      <c r="K134" s="7"/>
      <c r="L134" s="7"/>
      <c r="M134" s="7"/>
      <c r="N134" s="7"/>
      <c r="O134" s="7"/>
      <c r="P134" s="7"/>
      <c r="Q134" s="7"/>
      <c r="R134" s="7"/>
      <c r="S134" s="7"/>
      <c r="T134" s="7"/>
      <c r="U134" s="7"/>
      <c r="V134" s="7"/>
      <c r="W134" s="127">
        <f t="shared" si="7"/>
        <v>0</v>
      </c>
      <c r="X134" s="128">
        <f t="shared" si="8"/>
        <v>0</v>
      </c>
      <c r="Y134" s="128">
        <f t="shared" si="9"/>
        <v>0</v>
      </c>
      <c r="Z134" s="129">
        <f t="shared" si="10"/>
        <v>0</v>
      </c>
      <c r="AA134" s="99">
        <f>VLOOKUP(B134,SourceValues!$B$6:$E$88,2,FALSE)</f>
        <v>1.28</v>
      </c>
      <c r="AB134" s="99">
        <f>VLOOKUP(B134,SourceValues!$B$6:$E$88,3,FALSE)</f>
        <v>1.481088</v>
      </c>
      <c r="AC134" s="99">
        <f>VLOOKUP(B134,SourceValues!$B$6:$E$88,4,FALSE)</f>
        <v>148.11000000000001</v>
      </c>
      <c r="AD134" s="132">
        <f t="shared" si="11"/>
        <v>0</v>
      </c>
    </row>
    <row r="135" spans="1:30" x14ac:dyDescent="0.25">
      <c r="A135" s="68" t="s">
        <v>317</v>
      </c>
      <c r="B135" s="26" t="s">
        <v>26</v>
      </c>
      <c r="C135" s="7"/>
      <c r="D135" s="7"/>
      <c r="E135" s="7"/>
      <c r="F135" s="7"/>
      <c r="G135" s="7"/>
      <c r="H135" s="7"/>
      <c r="I135" s="7"/>
      <c r="J135" s="7"/>
      <c r="K135" s="7"/>
      <c r="L135" s="7"/>
      <c r="M135" s="7"/>
      <c r="N135" s="7"/>
      <c r="O135" s="7"/>
      <c r="P135" s="7"/>
      <c r="Q135" s="7"/>
      <c r="R135" s="7"/>
      <c r="S135" s="7"/>
      <c r="T135" s="7"/>
      <c r="U135" s="7"/>
      <c r="V135" s="7"/>
      <c r="W135" s="127">
        <f t="shared" si="7"/>
        <v>0</v>
      </c>
      <c r="X135" s="128">
        <f t="shared" si="8"/>
        <v>0</v>
      </c>
      <c r="Y135" s="128">
        <f t="shared" si="9"/>
        <v>0</v>
      </c>
      <c r="Z135" s="129">
        <f t="shared" si="10"/>
        <v>0</v>
      </c>
      <c r="AA135" s="99">
        <f>VLOOKUP(B135,SourceValues!$B$6:$E$88,2,FALSE)</f>
        <v>3.27</v>
      </c>
      <c r="AB135" s="99">
        <f>VLOOKUP(B135,SourceValues!$B$6:$E$88,3,FALSE)</f>
        <v>3.7837169999999998</v>
      </c>
      <c r="AC135" s="99">
        <f>VLOOKUP(B135,SourceValues!$B$6:$E$88,4,FALSE)</f>
        <v>378.37</v>
      </c>
      <c r="AD135" s="132">
        <f t="shared" si="11"/>
        <v>0</v>
      </c>
    </row>
    <row r="136" spans="1:30" x14ac:dyDescent="0.25">
      <c r="A136" s="68" t="s">
        <v>318</v>
      </c>
      <c r="B136" s="26" t="s">
        <v>27</v>
      </c>
      <c r="C136" s="7"/>
      <c r="D136" s="7"/>
      <c r="E136" s="7"/>
      <c r="F136" s="7"/>
      <c r="G136" s="7"/>
      <c r="H136" s="7"/>
      <c r="I136" s="7"/>
      <c r="J136" s="7"/>
      <c r="K136" s="7"/>
      <c r="L136" s="7"/>
      <c r="M136" s="7"/>
      <c r="N136" s="7"/>
      <c r="O136" s="7"/>
      <c r="P136" s="7"/>
      <c r="Q136" s="7"/>
      <c r="R136" s="7"/>
      <c r="S136" s="7"/>
      <c r="T136" s="7"/>
      <c r="U136" s="7"/>
      <c r="V136" s="7"/>
      <c r="W136" s="127">
        <f t="shared" si="7"/>
        <v>0</v>
      </c>
      <c r="X136" s="128">
        <f t="shared" si="8"/>
        <v>0</v>
      </c>
      <c r="Y136" s="128">
        <f t="shared" si="9"/>
        <v>0</v>
      </c>
      <c r="Z136" s="129">
        <f t="shared" si="10"/>
        <v>0</v>
      </c>
      <c r="AA136" s="99">
        <f>VLOOKUP(B136,SourceValues!$B$6:$E$88,2,FALSE)</f>
        <v>3.8</v>
      </c>
      <c r="AB136" s="99">
        <f>VLOOKUP(B136,SourceValues!$B$6:$E$88,3,FALSE)</f>
        <v>4.3969800000000001</v>
      </c>
      <c r="AC136" s="99">
        <f>VLOOKUP(B136,SourceValues!$B$6:$E$88,4,FALSE)</f>
        <v>439.7</v>
      </c>
      <c r="AD136" s="132">
        <f t="shared" si="11"/>
        <v>0</v>
      </c>
    </row>
    <row r="137" spans="1:30" x14ac:dyDescent="0.25">
      <c r="A137" s="68" t="s">
        <v>271</v>
      </c>
      <c r="B137" s="26" t="s">
        <v>254</v>
      </c>
      <c r="C137" s="7"/>
      <c r="D137" s="7"/>
      <c r="E137" s="7"/>
      <c r="F137" s="7"/>
      <c r="G137" s="7"/>
      <c r="H137" s="7"/>
      <c r="I137" s="7"/>
      <c r="J137" s="7"/>
      <c r="K137" s="7"/>
      <c r="L137" s="7"/>
      <c r="M137" s="7"/>
      <c r="N137" s="7"/>
      <c r="O137" s="7"/>
      <c r="P137" s="7"/>
      <c r="Q137" s="7"/>
      <c r="R137" s="7"/>
      <c r="S137" s="7"/>
      <c r="T137" s="7"/>
      <c r="U137" s="7"/>
      <c r="V137" s="7"/>
      <c r="W137" s="127">
        <f t="shared" si="7"/>
        <v>0</v>
      </c>
      <c r="X137" s="128">
        <f t="shared" si="8"/>
        <v>0</v>
      </c>
      <c r="Y137" s="128">
        <f t="shared" si="9"/>
        <v>0</v>
      </c>
      <c r="Z137" s="129">
        <f t="shared" si="10"/>
        <v>0</v>
      </c>
      <c r="AA137" s="99">
        <f>VLOOKUP(B137,SourceValues!$B$6:$E$88,2,FALSE)</f>
        <v>4.1900000000000004</v>
      </c>
      <c r="AB137" s="99">
        <f>VLOOKUP(B137,SourceValues!$B$6:$E$88,3,FALSE)</f>
        <v>4.848249</v>
      </c>
      <c r="AC137" s="99">
        <f>VLOOKUP(B137,SourceValues!$B$6:$E$88,4,FALSE)</f>
        <v>484.83</v>
      </c>
      <c r="AD137" s="132">
        <f t="shared" si="11"/>
        <v>0</v>
      </c>
    </row>
    <row r="138" spans="1:30" x14ac:dyDescent="0.25">
      <c r="A138" s="68" t="s">
        <v>319</v>
      </c>
      <c r="B138" s="26" t="s">
        <v>25</v>
      </c>
      <c r="C138" s="7"/>
      <c r="D138" s="7"/>
      <c r="E138" s="7"/>
      <c r="F138" s="7"/>
      <c r="G138" s="7"/>
      <c r="H138" s="7"/>
      <c r="I138" s="7"/>
      <c r="J138" s="7"/>
      <c r="K138" s="7"/>
      <c r="L138" s="7"/>
      <c r="M138" s="7"/>
      <c r="N138" s="7"/>
      <c r="O138" s="7"/>
      <c r="P138" s="7"/>
      <c r="Q138" s="7"/>
      <c r="R138" s="7"/>
      <c r="S138" s="7"/>
      <c r="T138" s="7"/>
      <c r="U138" s="7"/>
      <c r="V138" s="7"/>
      <c r="W138" s="127">
        <f t="shared" si="7"/>
        <v>0</v>
      </c>
      <c r="X138" s="128">
        <f t="shared" si="8"/>
        <v>0</v>
      </c>
      <c r="Y138" s="128">
        <f t="shared" si="9"/>
        <v>0</v>
      </c>
      <c r="Z138" s="129">
        <f t="shared" si="10"/>
        <v>0</v>
      </c>
      <c r="AA138" s="99">
        <f>VLOOKUP(B138,SourceValues!$B$6:$E$88,2,FALSE)</f>
        <v>1.31</v>
      </c>
      <c r="AB138" s="99">
        <f>VLOOKUP(B138,SourceValues!$B$6:$E$88,3,FALSE)</f>
        <v>1.515801</v>
      </c>
      <c r="AC138" s="99">
        <f>VLOOKUP(B138,SourceValues!$B$6:$E$88,4,FALSE)</f>
        <v>151.58000000000001</v>
      </c>
      <c r="AD138" s="132">
        <f t="shared" si="11"/>
        <v>0</v>
      </c>
    </row>
    <row r="139" spans="1:30" x14ac:dyDescent="0.25">
      <c r="A139" s="68" t="s">
        <v>320</v>
      </c>
      <c r="B139" s="26" t="s">
        <v>209</v>
      </c>
      <c r="C139" s="7"/>
      <c r="D139" s="7"/>
      <c r="E139" s="7"/>
      <c r="F139" s="7"/>
      <c r="G139" s="7"/>
      <c r="H139" s="7"/>
      <c r="I139" s="7"/>
      <c r="J139" s="7"/>
      <c r="K139" s="7"/>
      <c r="L139" s="7"/>
      <c r="M139" s="7"/>
      <c r="N139" s="7"/>
      <c r="O139" s="7"/>
      <c r="P139" s="7"/>
      <c r="Q139" s="7"/>
      <c r="R139" s="7"/>
      <c r="S139" s="7"/>
      <c r="T139" s="7"/>
      <c r="U139" s="7"/>
      <c r="V139" s="7"/>
      <c r="W139" s="127">
        <f t="shared" si="7"/>
        <v>0</v>
      </c>
      <c r="X139" s="128">
        <f t="shared" si="8"/>
        <v>0</v>
      </c>
      <c r="Y139" s="128">
        <f t="shared" si="9"/>
        <v>0</v>
      </c>
      <c r="Z139" s="129">
        <f t="shared" si="10"/>
        <v>0</v>
      </c>
      <c r="AA139" s="99">
        <f>VLOOKUP(B139,SourceValues!$B$6:$E$88,2,FALSE)</f>
        <v>1.22</v>
      </c>
      <c r="AB139" s="99">
        <f>VLOOKUP(B139,SourceValues!$B$6:$E$88,3,FALSE)</f>
        <v>1.411662</v>
      </c>
      <c r="AC139" s="99">
        <f>VLOOKUP(B139,SourceValues!$B$6:$E$88,4,FALSE)</f>
        <v>141.16999999999999</v>
      </c>
      <c r="AD139" s="132">
        <f t="shared" si="11"/>
        <v>0</v>
      </c>
    </row>
    <row r="140" spans="1:30" x14ac:dyDescent="0.25">
      <c r="A140" s="68" t="s">
        <v>272</v>
      </c>
      <c r="B140" s="26" t="s">
        <v>253</v>
      </c>
      <c r="C140" s="7"/>
      <c r="D140" s="7"/>
      <c r="E140" s="7"/>
      <c r="F140" s="7"/>
      <c r="G140" s="7"/>
      <c r="H140" s="7"/>
      <c r="I140" s="7"/>
      <c r="J140" s="7"/>
      <c r="K140" s="7"/>
      <c r="L140" s="7"/>
      <c r="M140" s="7"/>
      <c r="N140" s="7"/>
      <c r="O140" s="7"/>
      <c r="P140" s="7"/>
      <c r="Q140" s="7"/>
      <c r="R140" s="7"/>
      <c r="S140" s="7"/>
      <c r="T140" s="7"/>
      <c r="U140" s="7"/>
      <c r="V140" s="7"/>
      <c r="W140" s="127">
        <f t="shared" si="7"/>
        <v>0</v>
      </c>
      <c r="X140" s="128">
        <f t="shared" si="8"/>
        <v>0</v>
      </c>
      <c r="Y140" s="128">
        <f t="shared" si="9"/>
        <v>0</v>
      </c>
      <c r="Z140" s="129">
        <f t="shared" si="10"/>
        <v>0</v>
      </c>
      <c r="AA140" s="99">
        <f>VLOOKUP(B140,SourceValues!$B$6:$E$88,2,FALSE)</f>
        <v>3.19</v>
      </c>
      <c r="AB140" s="99">
        <f>VLOOKUP(B140,SourceValues!$B$6:$E$88,3,FALSE)</f>
        <v>3.6911489999999998</v>
      </c>
      <c r="AC140" s="99">
        <f>VLOOKUP(B140,SourceValues!$B$6:$E$88,4,FALSE)</f>
        <v>369.12</v>
      </c>
      <c r="AD140" s="132">
        <f t="shared" si="11"/>
        <v>0</v>
      </c>
    </row>
    <row r="141" spans="1:30" x14ac:dyDescent="0.25">
      <c r="A141" s="68" t="s">
        <v>321</v>
      </c>
      <c r="B141" s="26" t="s">
        <v>210</v>
      </c>
      <c r="C141" s="7"/>
      <c r="D141" s="7"/>
      <c r="E141" s="7"/>
      <c r="F141" s="7"/>
      <c r="G141" s="7"/>
      <c r="H141" s="7"/>
      <c r="I141" s="7"/>
      <c r="J141" s="7"/>
      <c r="K141" s="7"/>
      <c r="L141" s="7"/>
      <c r="M141" s="7"/>
      <c r="N141" s="7"/>
      <c r="O141" s="7"/>
      <c r="P141" s="7"/>
      <c r="Q141" s="7"/>
      <c r="R141" s="7"/>
      <c r="S141" s="7"/>
      <c r="T141" s="7"/>
      <c r="U141" s="7"/>
      <c r="V141" s="7"/>
      <c r="W141" s="127">
        <f t="shared" si="7"/>
        <v>0</v>
      </c>
      <c r="X141" s="128">
        <f t="shared" si="8"/>
        <v>0</v>
      </c>
      <c r="Y141" s="128">
        <f t="shared" si="9"/>
        <v>0</v>
      </c>
      <c r="Z141" s="129">
        <f t="shared" si="10"/>
        <v>0</v>
      </c>
      <c r="AA141" s="99">
        <f>VLOOKUP(B141,SourceValues!$B$6:$E$88,2,FALSE)</f>
        <v>1.06</v>
      </c>
      <c r="AB141" s="99">
        <f>VLOOKUP(B141,SourceValues!$B$6:$E$88,3,FALSE)</f>
        <v>1.226526</v>
      </c>
      <c r="AC141" s="99">
        <f>VLOOKUP(B141,SourceValues!$B$6:$E$88,4,FALSE)</f>
        <v>122.65</v>
      </c>
      <c r="AD141" s="132">
        <f t="shared" si="11"/>
        <v>0</v>
      </c>
    </row>
    <row r="142" spans="1:30" x14ac:dyDescent="0.25">
      <c r="A142" s="68" t="s">
        <v>322</v>
      </c>
      <c r="B142" s="26" t="s">
        <v>211</v>
      </c>
      <c r="C142" s="7"/>
      <c r="D142" s="7"/>
      <c r="E142" s="7"/>
      <c r="F142" s="7"/>
      <c r="G142" s="7"/>
      <c r="H142" s="7"/>
      <c r="I142" s="7"/>
      <c r="J142" s="7"/>
      <c r="K142" s="7"/>
      <c r="L142" s="7"/>
      <c r="M142" s="7"/>
      <c r="N142" s="7"/>
      <c r="O142" s="7"/>
      <c r="P142" s="7"/>
      <c r="Q142" s="7"/>
      <c r="R142" s="7"/>
      <c r="S142" s="7"/>
      <c r="T142" s="7"/>
      <c r="U142" s="7"/>
      <c r="V142" s="7"/>
      <c r="W142" s="127">
        <f t="shared" si="7"/>
        <v>0</v>
      </c>
      <c r="X142" s="128">
        <f t="shared" si="8"/>
        <v>0</v>
      </c>
      <c r="Y142" s="128">
        <f t="shared" si="9"/>
        <v>0</v>
      </c>
      <c r="Z142" s="129">
        <f t="shared" si="10"/>
        <v>0</v>
      </c>
      <c r="AA142" s="99">
        <f>VLOOKUP(B142,SourceValues!$B$6:$E$88,2,FALSE)</f>
        <v>0.9</v>
      </c>
      <c r="AB142" s="99">
        <f>VLOOKUP(B142,SourceValues!$B$6:$E$88,3,FALSE)</f>
        <v>1.04139</v>
      </c>
      <c r="AC142" s="99">
        <f>VLOOKUP(B142,SourceValues!$B$6:$E$88,4,FALSE)</f>
        <v>104.14</v>
      </c>
      <c r="AD142" s="132">
        <f t="shared" si="11"/>
        <v>0</v>
      </c>
    </row>
    <row r="143" spans="1:30" x14ac:dyDescent="0.25">
      <c r="A143" s="68" t="s">
        <v>273</v>
      </c>
      <c r="B143" s="26" t="s">
        <v>252</v>
      </c>
      <c r="C143" s="7"/>
      <c r="D143" s="7"/>
      <c r="E143" s="7"/>
      <c r="F143" s="7"/>
      <c r="G143" s="7"/>
      <c r="H143" s="7"/>
      <c r="I143" s="7"/>
      <c r="J143" s="7"/>
      <c r="K143" s="7"/>
      <c r="L143" s="7"/>
      <c r="M143" s="7"/>
      <c r="N143" s="7"/>
      <c r="O143" s="7"/>
      <c r="P143" s="7"/>
      <c r="Q143" s="7"/>
      <c r="R143" s="7"/>
      <c r="S143" s="7"/>
      <c r="T143" s="7"/>
      <c r="U143" s="7"/>
      <c r="V143" s="7"/>
      <c r="W143" s="127">
        <f t="shared" si="7"/>
        <v>0</v>
      </c>
      <c r="X143" s="128">
        <f t="shared" si="8"/>
        <v>0</v>
      </c>
      <c r="Y143" s="128">
        <f t="shared" si="9"/>
        <v>0</v>
      </c>
      <c r="Z143" s="129">
        <f t="shared" si="10"/>
        <v>0</v>
      </c>
      <c r="AA143" s="99">
        <f>VLOOKUP(B143,SourceValues!$B$6:$E$88,2,FALSE)</f>
        <v>2.41</v>
      </c>
      <c r="AB143" s="99">
        <f>VLOOKUP(B143,SourceValues!$B$6:$E$88,3,FALSE)</f>
        <v>2.7886110000000004</v>
      </c>
      <c r="AC143" s="99">
        <f>VLOOKUP(B143,SourceValues!$B$6:$E$88,4,FALSE)</f>
        <v>278.86</v>
      </c>
      <c r="AD143" s="132">
        <f t="shared" si="11"/>
        <v>0</v>
      </c>
    </row>
    <row r="144" spans="1:30" x14ac:dyDescent="0.25">
      <c r="A144" s="68" t="s">
        <v>274</v>
      </c>
      <c r="B144" s="26" t="s">
        <v>251</v>
      </c>
      <c r="C144" s="7"/>
      <c r="D144" s="7"/>
      <c r="E144" s="7"/>
      <c r="F144" s="7"/>
      <c r="G144" s="7"/>
      <c r="H144" s="7"/>
      <c r="I144" s="7"/>
      <c r="J144" s="7"/>
      <c r="K144" s="7"/>
      <c r="L144" s="7"/>
      <c r="M144" s="7"/>
      <c r="N144" s="7"/>
      <c r="O144" s="7"/>
      <c r="P144" s="7"/>
      <c r="Q144" s="7"/>
      <c r="R144" s="7"/>
      <c r="S144" s="7"/>
      <c r="T144" s="7"/>
      <c r="U144" s="7"/>
      <c r="V144" s="7"/>
      <c r="W144" s="127">
        <f t="shared" si="7"/>
        <v>0</v>
      </c>
      <c r="X144" s="128">
        <f t="shared" si="8"/>
        <v>0</v>
      </c>
      <c r="Y144" s="128">
        <f t="shared" si="9"/>
        <v>0</v>
      </c>
      <c r="Z144" s="129">
        <f t="shared" si="10"/>
        <v>0</v>
      </c>
      <c r="AA144" s="99">
        <f>VLOOKUP(B144,SourceValues!$B$6:$E$88,2,FALSE)</f>
        <v>9.51</v>
      </c>
      <c r="AB144" s="99">
        <f>VLOOKUP(B144,SourceValues!$B$6:$E$88,3,FALSE)</f>
        <v>11.004021</v>
      </c>
      <c r="AC144" s="99">
        <f>VLOOKUP(B144,SourceValues!$B$6:$E$88,4,FALSE)</f>
        <v>1100.4100000000001</v>
      </c>
      <c r="AD144" s="132">
        <f t="shared" si="11"/>
        <v>0</v>
      </c>
    </row>
    <row r="145" spans="1:30" x14ac:dyDescent="0.25">
      <c r="A145" s="68" t="s">
        <v>323</v>
      </c>
      <c r="B145" s="26" t="s">
        <v>39</v>
      </c>
      <c r="C145" s="7"/>
      <c r="D145" s="7"/>
      <c r="E145" s="7"/>
      <c r="F145" s="7"/>
      <c r="G145" s="7"/>
      <c r="H145" s="7"/>
      <c r="I145" s="7"/>
      <c r="J145" s="7"/>
      <c r="K145" s="7"/>
      <c r="L145" s="7"/>
      <c r="M145" s="7"/>
      <c r="N145" s="7"/>
      <c r="O145" s="7"/>
      <c r="P145" s="7"/>
      <c r="Q145" s="7"/>
      <c r="R145" s="7"/>
      <c r="S145" s="7"/>
      <c r="T145" s="7"/>
      <c r="U145" s="7"/>
      <c r="V145" s="7"/>
      <c r="W145" s="127">
        <f t="shared" si="7"/>
        <v>0</v>
      </c>
      <c r="X145" s="128">
        <f t="shared" si="8"/>
        <v>0</v>
      </c>
      <c r="Y145" s="128">
        <f t="shared" si="9"/>
        <v>0</v>
      </c>
      <c r="Z145" s="129">
        <f t="shared" si="10"/>
        <v>0</v>
      </c>
      <c r="AA145" s="99">
        <f>VLOOKUP(B145,SourceValues!$B$6:$E$88,2,FALSE)</f>
        <v>2.99</v>
      </c>
      <c r="AB145" s="99">
        <f>VLOOKUP(B145,SourceValues!$B$6:$E$88,3,FALSE)</f>
        <v>3.4597289999999998</v>
      </c>
      <c r="AC145" s="99">
        <f>VLOOKUP(B145,SourceValues!$B$6:$E$88,4,FALSE)</f>
        <v>345.98</v>
      </c>
      <c r="AD145" s="132">
        <f t="shared" si="11"/>
        <v>0</v>
      </c>
    </row>
    <row r="146" spans="1:30" x14ac:dyDescent="0.25">
      <c r="A146" s="68" t="s">
        <v>324</v>
      </c>
      <c r="B146" s="26" t="s">
        <v>40</v>
      </c>
      <c r="C146" s="7"/>
      <c r="D146" s="7"/>
      <c r="E146" s="7"/>
      <c r="F146" s="7"/>
      <c r="G146" s="7"/>
      <c r="H146" s="7"/>
      <c r="I146" s="7"/>
      <c r="J146" s="7"/>
      <c r="K146" s="7"/>
      <c r="L146" s="7"/>
      <c r="M146" s="7"/>
      <c r="N146" s="7"/>
      <c r="O146" s="7"/>
      <c r="P146" s="7"/>
      <c r="Q146" s="7"/>
      <c r="R146" s="7"/>
      <c r="S146" s="7"/>
      <c r="T146" s="7"/>
      <c r="U146" s="7"/>
      <c r="V146" s="7"/>
      <c r="W146" s="127">
        <f t="shared" si="7"/>
        <v>0</v>
      </c>
      <c r="X146" s="128">
        <f t="shared" si="8"/>
        <v>0</v>
      </c>
      <c r="Y146" s="128">
        <f t="shared" si="9"/>
        <v>0</v>
      </c>
      <c r="Z146" s="129">
        <f t="shared" si="10"/>
        <v>0</v>
      </c>
      <c r="AA146" s="99">
        <f>VLOOKUP(B146,SourceValues!$B$6:$E$88,2,FALSE)</f>
        <v>2.2400000000000002</v>
      </c>
      <c r="AB146" s="99">
        <f>VLOOKUP(B146,SourceValues!$B$6:$E$88,3,FALSE)</f>
        <v>2.591904</v>
      </c>
      <c r="AC146" s="99">
        <f>VLOOKUP(B146,SourceValues!$B$6:$E$88,4,FALSE)</f>
        <v>259.19</v>
      </c>
      <c r="AD146" s="132">
        <f t="shared" si="11"/>
        <v>0</v>
      </c>
    </row>
    <row r="147" spans="1:30" x14ac:dyDescent="0.25">
      <c r="A147" s="68" t="s">
        <v>325</v>
      </c>
      <c r="B147" s="26" t="s">
        <v>35</v>
      </c>
      <c r="C147" s="7"/>
      <c r="D147" s="7"/>
      <c r="E147" s="7"/>
      <c r="F147" s="7"/>
      <c r="G147" s="7"/>
      <c r="H147" s="7"/>
      <c r="I147" s="7"/>
      <c r="J147" s="7"/>
      <c r="K147" s="7"/>
      <c r="L147" s="7"/>
      <c r="M147" s="7"/>
      <c r="N147" s="7"/>
      <c r="O147" s="7"/>
      <c r="P147" s="7"/>
      <c r="Q147" s="7"/>
      <c r="R147" s="7"/>
      <c r="S147" s="7"/>
      <c r="T147" s="7"/>
      <c r="U147" s="7"/>
      <c r="V147" s="7"/>
      <c r="W147" s="127">
        <f t="shared" si="7"/>
        <v>0</v>
      </c>
      <c r="X147" s="128">
        <f t="shared" si="8"/>
        <v>0</v>
      </c>
      <c r="Y147" s="128">
        <f t="shared" si="9"/>
        <v>0</v>
      </c>
      <c r="Z147" s="129">
        <f t="shared" si="10"/>
        <v>0</v>
      </c>
      <c r="AA147" s="99">
        <f>VLOOKUP(B147,SourceValues!$B$6:$E$88,2,FALSE)</f>
        <v>1.93</v>
      </c>
      <c r="AB147" s="99">
        <f>VLOOKUP(B147,SourceValues!$B$6:$E$88,3,FALSE)</f>
        <v>2.2332029999999996</v>
      </c>
      <c r="AC147" s="99">
        <f>VLOOKUP(B147,SourceValues!$B$6:$E$88,4,FALSE)</f>
        <v>223.32</v>
      </c>
      <c r="AD147" s="132">
        <f t="shared" si="11"/>
        <v>0</v>
      </c>
    </row>
    <row r="148" spans="1:30" x14ac:dyDescent="0.25">
      <c r="A148" s="68" t="s">
        <v>275</v>
      </c>
      <c r="B148" s="26" t="s">
        <v>250</v>
      </c>
      <c r="C148" s="7"/>
      <c r="D148" s="7"/>
      <c r="E148" s="7"/>
      <c r="F148" s="7"/>
      <c r="G148" s="7"/>
      <c r="H148" s="7"/>
      <c r="I148" s="7"/>
      <c r="J148" s="7"/>
      <c r="K148" s="7"/>
      <c r="L148" s="7"/>
      <c r="M148" s="7"/>
      <c r="N148" s="7"/>
      <c r="O148" s="7"/>
      <c r="P148" s="7"/>
      <c r="Q148" s="7"/>
      <c r="R148" s="7"/>
      <c r="S148" s="7"/>
      <c r="T148" s="7"/>
      <c r="U148" s="7"/>
      <c r="V148" s="7"/>
      <c r="W148" s="127">
        <f t="shared" si="7"/>
        <v>0</v>
      </c>
      <c r="X148" s="128">
        <f t="shared" si="8"/>
        <v>0</v>
      </c>
      <c r="Y148" s="128">
        <f t="shared" si="9"/>
        <v>0</v>
      </c>
      <c r="Z148" s="129">
        <f t="shared" si="10"/>
        <v>0</v>
      </c>
      <c r="AA148" s="99">
        <f>VLOOKUP(B148,SourceValues!$B$6:$E$88,2,FALSE)</f>
        <v>1.29</v>
      </c>
      <c r="AB148" s="99">
        <f>VLOOKUP(B148,SourceValues!$B$6:$E$88,3,FALSE)</f>
        <v>1.492659</v>
      </c>
      <c r="AC148" s="99">
        <f>VLOOKUP(B148,SourceValues!$B$6:$E$88,4,FALSE)</f>
        <v>149.27000000000001</v>
      </c>
      <c r="AD148" s="132">
        <f t="shared" si="11"/>
        <v>0</v>
      </c>
    </row>
    <row r="149" spans="1:30" x14ac:dyDescent="0.25">
      <c r="A149" s="68" t="s">
        <v>276</v>
      </c>
      <c r="B149" s="26" t="s">
        <v>249</v>
      </c>
      <c r="C149" s="7"/>
      <c r="D149" s="7"/>
      <c r="E149" s="7"/>
      <c r="F149" s="7"/>
      <c r="G149" s="7"/>
      <c r="H149" s="7"/>
      <c r="I149" s="7"/>
      <c r="J149" s="7"/>
      <c r="K149" s="7"/>
      <c r="L149" s="7"/>
      <c r="M149" s="7"/>
      <c r="N149" s="7"/>
      <c r="O149" s="7"/>
      <c r="P149" s="7"/>
      <c r="Q149" s="7"/>
      <c r="R149" s="7"/>
      <c r="S149" s="7"/>
      <c r="T149" s="7"/>
      <c r="U149" s="7"/>
      <c r="V149" s="7"/>
      <c r="W149" s="127">
        <f t="shared" si="7"/>
        <v>0</v>
      </c>
      <c r="X149" s="128">
        <f t="shared" si="8"/>
        <v>0</v>
      </c>
      <c r="Y149" s="128">
        <f t="shared" si="9"/>
        <v>0</v>
      </c>
      <c r="Z149" s="129">
        <f t="shared" si="10"/>
        <v>0</v>
      </c>
      <c r="AA149" s="99">
        <f>VLOOKUP(B149,SourceValues!$B$6:$E$88,2,FALSE)</f>
        <v>1</v>
      </c>
      <c r="AB149" s="99">
        <f>VLOOKUP(B149,SourceValues!$B$6:$E$88,3,FALSE)</f>
        <v>1.1571</v>
      </c>
      <c r="AC149" s="99">
        <f>VLOOKUP(B149,SourceValues!$B$6:$E$88,4,FALSE)</f>
        <v>115.71</v>
      </c>
      <c r="AD149" s="132">
        <f t="shared" si="11"/>
        <v>0</v>
      </c>
    </row>
    <row r="150" spans="1:30" x14ac:dyDescent="0.25">
      <c r="A150" s="68" t="s">
        <v>277</v>
      </c>
      <c r="B150" s="26" t="s">
        <v>248</v>
      </c>
      <c r="C150" s="7"/>
      <c r="D150" s="7"/>
      <c r="E150" s="7"/>
      <c r="F150" s="7"/>
      <c r="G150" s="7"/>
      <c r="H150" s="7"/>
      <c r="I150" s="7"/>
      <c r="J150" s="7"/>
      <c r="K150" s="7"/>
      <c r="L150" s="7"/>
      <c r="M150" s="7"/>
      <c r="N150" s="7"/>
      <c r="O150" s="7"/>
      <c r="P150" s="7"/>
      <c r="Q150" s="7"/>
      <c r="R150" s="7"/>
      <c r="S150" s="7"/>
      <c r="T150" s="7"/>
      <c r="U150" s="7"/>
      <c r="V150" s="7"/>
      <c r="W150" s="127">
        <f t="shared" si="7"/>
        <v>0</v>
      </c>
      <c r="X150" s="128">
        <f t="shared" si="8"/>
        <v>0</v>
      </c>
      <c r="Y150" s="128">
        <f t="shared" si="9"/>
        <v>0</v>
      </c>
      <c r="Z150" s="129">
        <f t="shared" si="10"/>
        <v>0</v>
      </c>
      <c r="AA150" s="99">
        <f>VLOOKUP(B150,SourceValues!$B$6:$E$88,2,FALSE)</f>
        <v>0.94</v>
      </c>
      <c r="AB150" s="99">
        <f>VLOOKUP(B150,SourceValues!$B$6:$E$88,3,FALSE)</f>
        <v>1.087674</v>
      </c>
      <c r="AC150" s="99">
        <f>VLOOKUP(B150,SourceValues!$B$6:$E$88,4,FALSE)</f>
        <v>108.77</v>
      </c>
      <c r="AD150" s="132">
        <f t="shared" si="11"/>
        <v>0</v>
      </c>
    </row>
    <row r="151" spans="1:30" x14ac:dyDescent="0.25">
      <c r="A151" s="68" t="s">
        <v>278</v>
      </c>
      <c r="B151" s="26" t="s">
        <v>247</v>
      </c>
      <c r="C151" s="7"/>
      <c r="D151" s="7"/>
      <c r="E151" s="7"/>
      <c r="F151" s="7"/>
      <c r="G151" s="7"/>
      <c r="H151" s="7"/>
      <c r="I151" s="7"/>
      <c r="J151" s="7"/>
      <c r="K151" s="7"/>
      <c r="L151" s="7"/>
      <c r="M151" s="7"/>
      <c r="N151" s="7"/>
      <c r="O151" s="7"/>
      <c r="P151" s="7"/>
      <c r="Q151" s="7"/>
      <c r="R151" s="7"/>
      <c r="S151" s="7"/>
      <c r="T151" s="7"/>
      <c r="U151" s="7"/>
      <c r="V151" s="7"/>
      <c r="W151" s="127">
        <f t="shared" si="7"/>
        <v>0</v>
      </c>
      <c r="X151" s="128">
        <f t="shared" si="8"/>
        <v>0</v>
      </c>
      <c r="Y151" s="128">
        <f t="shared" si="9"/>
        <v>0</v>
      </c>
      <c r="Z151" s="129">
        <f t="shared" si="10"/>
        <v>0</v>
      </c>
      <c r="AA151" s="99">
        <f>VLOOKUP(B151,SourceValues!$B$6:$E$88,2,FALSE)</f>
        <v>0.96</v>
      </c>
      <c r="AB151" s="99">
        <f>VLOOKUP(B151,SourceValues!$B$6:$E$88,3,FALSE)</f>
        <v>1.110816</v>
      </c>
      <c r="AC151" s="99">
        <f>VLOOKUP(B151,SourceValues!$B$6:$E$88,4,FALSE)</f>
        <v>111.08</v>
      </c>
      <c r="AD151" s="132">
        <f t="shared" si="11"/>
        <v>0</v>
      </c>
    </row>
    <row r="152" spans="1:30" x14ac:dyDescent="0.25">
      <c r="A152" s="68" t="s">
        <v>279</v>
      </c>
      <c r="B152" s="26" t="s">
        <v>246</v>
      </c>
      <c r="C152" s="7"/>
      <c r="D152" s="7"/>
      <c r="E152" s="7"/>
      <c r="F152" s="7"/>
      <c r="G152" s="7"/>
      <c r="H152" s="7"/>
      <c r="I152" s="7"/>
      <c r="J152" s="7"/>
      <c r="K152" s="7"/>
      <c r="L152" s="7"/>
      <c r="M152" s="7"/>
      <c r="N152" s="7"/>
      <c r="O152" s="7"/>
      <c r="P152" s="7"/>
      <c r="Q152" s="7"/>
      <c r="R152" s="7"/>
      <c r="S152" s="7"/>
      <c r="T152" s="7"/>
      <c r="U152" s="7"/>
      <c r="V152" s="7"/>
      <c r="W152" s="127">
        <f t="shared" si="7"/>
        <v>0</v>
      </c>
      <c r="X152" s="128">
        <f t="shared" si="8"/>
        <v>0</v>
      </c>
      <c r="Y152" s="128">
        <f t="shared" si="9"/>
        <v>0</v>
      </c>
      <c r="Z152" s="129">
        <f t="shared" si="10"/>
        <v>0</v>
      </c>
      <c r="AA152" s="99">
        <f>VLOOKUP(B152,SourceValues!$B$6:$E$88,2,FALSE)</f>
        <v>0.98</v>
      </c>
      <c r="AB152" s="99">
        <f>VLOOKUP(B152,SourceValues!$B$6:$E$88,3,FALSE)</f>
        <v>1.133958</v>
      </c>
      <c r="AC152" s="99">
        <f>VLOOKUP(B152,SourceValues!$B$6:$E$88,4,FALSE)</f>
        <v>113.4</v>
      </c>
      <c r="AD152" s="132">
        <f t="shared" si="11"/>
        <v>0</v>
      </c>
    </row>
    <row r="153" spans="1:30" x14ac:dyDescent="0.25">
      <c r="A153" s="68" t="s">
        <v>212</v>
      </c>
      <c r="B153" s="26" t="s">
        <v>3</v>
      </c>
      <c r="C153" s="7"/>
      <c r="D153" s="7"/>
      <c r="E153" s="7"/>
      <c r="F153" s="7"/>
      <c r="G153" s="7"/>
      <c r="H153" s="7"/>
      <c r="I153" s="7"/>
      <c r="J153" s="7"/>
      <c r="K153" s="7"/>
      <c r="L153" s="7"/>
      <c r="M153" s="7"/>
      <c r="N153" s="7"/>
      <c r="O153" s="7"/>
      <c r="P153" s="7"/>
      <c r="Q153" s="7"/>
      <c r="R153" s="7"/>
      <c r="S153" s="7"/>
      <c r="T153" s="7"/>
      <c r="U153" s="7"/>
      <c r="V153" s="7"/>
      <c r="W153" s="127">
        <f t="shared" si="7"/>
        <v>0</v>
      </c>
      <c r="X153" s="128">
        <f t="shared" si="8"/>
        <v>0</v>
      </c>
      <c r="Y153" s="128">
        <f t="shared" si="9"/>
        <v>0</v>
      </c>
      <c r="Z153" s="129">
        <f t="shared" si="10"/>
        <v>0</v>
      </c>
      <c r="AA153" s="99">
        <f>VLOOKUP(B153,SourceValues!$B$6:$E$88,2,FALSE)</f>
        <v>1.6</v>
      </c>
      <c r="AB153" s="99">
        <f>VLOOKUP(B153,SourceValues!$B$6:$E$88,3,FALSE)</f>
        <v>1.8513599999999999</v>
      </c>
      <c r="AC153" s="99">
        <f>VLOOKUP(B153,SourceValues!$B$6:$E$88,4,FALSE)</f>
        <v>185.14</v>
      </c>
      <c r="AD153" s="132">
        <f t="shared" si="11"/>
        <v>0</v>
      </c>
    </row>
    <row r="154" spans="1:30" x14ac:dyDescent="0.25">
      <c r="A154" s="68" t="s">
        <v>326</v>
      </c>
      <c r="B154" s="26" t="s">
        <v>4</v>
      </c>
      <c r="C154" s="7"/>
      <c r="D154" s="7"/>
      <c r="E154" s="7"/>
      <c r="F154" s="7"/>
      <c r="G154" s="7"/>
      <c r="H154" s="7"/>
      <c r="I154" s="7"/>
      <c r="J154" s="7"/>
      <c r="K154" s="7"/>
      <c r="L154" s="7"/>
      <c r="M154" s="7"/>
      <c r="N154" s="7"/>
      <c r="O154" s="7"/>
      <c r="P154" s="7"/>
      <c r="Q154" s="7"/>
      <c r="R154" s="7"/>
      <c r="S154" s="7"/>
      <c r="T154" s="7"/>
      <c r="U154" s="7"/>
      <c r="V154" s="7"/>
      <c r="W154" s="127">
        <f t="shared" si="7"/>
        <v>0</v>
      </c>
      <c r="X154" s="128">
        <f t="shared" si="8"/>
        <v>0</v>
      </c>
      <c r="Y154" s="128">
        <f t="shared" si="9"/>
        <v>0</v>
      </c>
      <c r="Z154" s="129">
        <f t="shared" si="10"/>
        <v>0</v>
      </c>
      <c r="AA154" s="99">
        <f>VLOOKUP(B154,SourceValues!$B$6:$E$88,2,FALSE)</f>
        <v>2.06</v>
      </c>
      <c r="AB154" s="99">
        <f>VLOOKUP(B154,SourceValues!$B$6:$E$88,3,FALSE)</f>
        <v>2.383626</v>
      </c>
      <c r="AC154" s="99">
        <f>VLOOKUP(B154,SourceValues!$B$6:$E$88,4,FALSE)</f>
        <v>238.36</v>
      </c>
      <c r="AD154" s="132">
        <f t="shared" si="11"/>
        <v>0</v>
      </c>
    </row>
    <row r="155" spans="1:30" x14ac:dyDescent="0.25">
      <c r="A155" s="68" t="s">
        <v>327</v>
      </c>
      <c r="B155" s="26" t="s">
        <v>5</v>
      </c>
      <c r="C155" s="7"/>
      <c r="D155" s="7"/>
      <c r="E155" s="7"/>
      <c r="F155" s="7"/>
      <c r="G155" s="7"/>
      <c r="H155" s="7"/>
      <c r="I155" s="7"/>
      <c r="J155" s="7"/>
      <c r="K155" s="7"/>
      <c r="L155" s="7"/>
      <c r="M155" s="7"/>
      <c r="N155" s="7"/>
      <c r="O155" s="7"/>
      <c r="P155" s="7"/>
      <c r="Q155" s="7"/>
      <c r="R155" s="7"/>
      <c r="S155" s="7"/>
      <c r="T155" s="7"/>
      <c r="U155" s="7"/>
      <c r="V155" s="7"/>
      <c r="W155" s="127">
        <f t="shared" si="7"/>
        <v>0</v>
      </c>
      <c r="X155" s="128">
        <f t="shared" si="8"/>
        <v>0</v>
      </c>
      <c r="Y155" s="128">
        <f t="shared" si="9"/>
        <v>0</v>
      </c>
      <c r="Z155" s="129">
        <f t="shared" si="10"/>
        <v>0</v>
      </c>
      <c r="AA155" s="99">
        <f>VLOOKUP(B155,SourceValues!$B$6:$E$88,2,FALSE)</f>
        <v>3.43</v>
      </c>
      <c r="AB155" s="99">
        <f>VLOOKUP(B155,SourceValues!$B$6:$E$88,3,FALSE)</f>
        <v>3.9688529999999997</v>
      </c>
      <c r="AC155" s="99">
        <f>VLOOKUP(B155,SourceValues!$B$6:$E$88,4,FALSE)</f>
        <v>396.89</v>
      </c>
      <c r="AD155" s="132">
        <f t="shared" si="11"/>
        <v>0</v>
      </c>
    </row>
    <row r="156" spans="1:30" x14ac:dyDescent="0.25">
      <c r="A156" s="68" t="s">
        <v>213</v>
      </c>
      <c r="B156" s="26" t="s">
        <v>6</v>
      </c>
      <c r="C156" s="7"/>
      <c r="D156" s="7"/>
      <c r="E156" s="7"/>
      <c r="F156" s="7"/>
      <c r="G156" s="7"/>
      <c r="H156" s="7"/>
      <c r="I156" s="7"/>
      <c r="J156" s="7"/>
      <c r="K156" s="7"/>
      <c r="L156" s="7"/>
      <c r="M156" s="7"/>
      <c r="N156" s="7"/>
      <c r="O156" s="7"/>
      <c r="P156" s="7"/>
      <c r="Q156" s="7"/>
      <c r="R156" s="7"/>
      <c r="S156" s="7"/>
      <c r="T156" s="7"/>
      <c r="U156" s="7"/>
      <c r="V156" s="7"/>
      <c r="W156" s="127">
        <f t="shared" si="7"/>
        <v>0</v>
      </c>
      <c r="X156" s="128">
        <f t="shared" si="8"/>
        <v>0</v>
      </c>
      <c r="Y156" s="128">
        <f t="shared" si="9"/>
        <v>0</v>
      </c>
      <c r="Z156" s="129">
        <f t="shared" si="10"/>
        <v>0</v>
      </c>
      <c r="AA156" s="99">
        <f>VLOOKUP(B156,SourceValues!$B$6:$E$88,2,FALSE)</f>
        <v>4.08</v>
      </c>
      <c r="AB156" s="99">
        <f>VLOOKUP(B156,SourceValues!$B$6:$E$88,3,FALSE)</f>
        <v>4.7209680000000001</v>
      </c>
      <c r="AC156" s="99">
        <f>VLOOKUP(B156,SourceValues!$B$6:$E$88,4,FALSE)</f>
        <v>472.1</v>
      </c>
      <c r="AD156" s="132">
        <f t="shared" si="11"/>
        <v>0</v>
      </c>
    </row>
    <row r="157" spans="1:30" x14ac:dyDescent="0.25">
      <c r="A157" s="68" t="s">
        <v>214</v>
      </c>
      <c r="B157" s="26" t="s">
        <v>7</v>
      </c>
      <c r="C157" s="206"/>
      <c r="D157" s="206"/>
      <c r="E157" s="206"/>
      <c r="F157" s="206"/>
      <c r="G157" s="206"/>
      <c r="H157" s="206"/>
      <c r="I157" s="206"/>
      <c r="J157" s="206"/>
      <c r="K157" s="206"/>
      <c r="L157" s="206"/>
      <c r="M157" s="206"/>
      <c r="N157" s="206"/>
      <c r="O157" s="206"/>
      <c r="P157" s="206"/>
      <c r="Q157" s="206"/>
      <c r="R157" s="206"/>
      <c r="S157" s="206"/>
      <c r="T157" s="206"/>
      <c r="U157" s="206"/>
      <c r="V157" s="206"/>
      <c r="W157" s="127">
        <f t="shared" si="7"/>
        <v>0</v>
      </c>
      <c r="X157" s="128">
        <f t="shared" si="8"/>
        <v>0</v>
      </c>
      <c r="Y157" s="128">
        <f t="shared" si="9"/>
        <v>0</v>
      </c>
      <c r="Z157" s="129">
        <f t="shared" si="10"/>
        <v>0</v>
      </c>
      <c r="AA157" s="99">
        <f>VLOOKUP(B157,SourceValues!$B$6:$E$88,2,FALSE)</f>
        <v>5</v>
      </c>
      <c r="AB157" s="99">
        <f>VLOOKUP(B157,SourceValues!$B$6:$E$88,3,FALSE)</f>
        <v>5.7854999999999999</v>
      </c>
      <c r="AC157" s="99">
        <f>VLOOKUP(B157,SourceValues!$B$6:$E$88,4,FALSE)</f>
        <v>578.54999999999995</v>
      </c>
      <c r="AD157" s="132">
        <f t="shared" si="11"/>
        <v>0</v>
      </c>
    </row>
    <row r="158" spans="1:30" x14ac:dyDescent="0.25">
      <c r="A158" s="68" t="s">
        <v>215</v>
      </c>
      <c r="B158" s="26" t="s">
        <v>8</v>
      </c>
      <c r="C158" s="206"/>
      <c r="D158" s="206"/>
      <c r="E158" s="206"/>
      <c r="F158" s="206"/>
      <c r="G158" s="206"/>
      <c r="H158" s="206"/>
      <c r="I158" s="206"/>
      <c r="J158" s="206"/>
      <c r="K158" s="206"/>
      <c r="L158" s="206"/>
      <c r="M158" s="206"/>
      <c r="N158" s="206"/>
      <c r="O158" s="206"/>
      <c r="P158" s="206"/>
      <c r="Q158" s="206"/>
      <c r="R158" s="206"/>
      <c r="S158" s="206"/>
      <c r="T158" s="206"/>
      <c r="U158" s="206"/>
      <c r="V158" s="206"/>
      <c r="W158" s="127">
        <f t="shared" si="7"/>
        <v>0</v>
      </c>
      <c r="X158" s="128">
        <f t="shared" si="8"/>
        <v>0</v>
      </c>
      <c r="Y158" s="128">
        <f t="shared" si="9"/>
        <v>0</v>
      </c>
      <c r="Z158" s="129">
        <f t="shared" si="10"/>
        <v>0</v>
      </c>
      <c r="AA158" s="99">
        <f>VLOOKUP(B158,SourceValues!$B$6:$E$88,2,FALSE)</f>
        <v>5.78</v>
      </c>
      <c r="AB158" s="99">
        <f>VLOOKUP(B158,SourceValues!$B$6:$E$88,3,FALSE)</f>
        <v>6.6880380000000006</v>
      </c>
      <c r="AC158" s="99">
        <f>VLOOKUP(B158,SourceValues!$B$6:$E$88,4,FALSE)</f>
        <v>668.81</v>
      </c>
      <c r="AD158" s="132">
        <f t="shared" ref="AD158:AD176" si="12">Z158*AC158</f>
        <v>0</v>
      </c>
    </row>
    <row r="159" spans="1:30" x14ac:dyDescent="0.25">
      <c r="A159" s="68" t="s">
        <v>216</v>
      </c>
      <c r="B159" s="26" t="s">
        <v>9</v>
      </c>
      <c r="C159" s="206"/>
      <c r="D159" s="206"/>
      <c r="E159" s="206"/>
      <c r="F159" s="206"/>
      <c r="G159" s="206"/>
      <c r="H159" s="206"/>
      <c r="I159" s="206"/>
      <c r="J159" s="206"/>
      <c r="K159" s="206"/>
      <c r="L159" s="206"/>
      <c r="M159" s="206"/>
      <c r="N159" s="206"/>
      <c r="O159" s="206"/>
      <c r="P159" s="206"/>
      <c r="Q159" s="206"/>
      <c r="R159" s="206"/>
      <c r="S159" s="206"/>
      <c r="T159" s="206"/>
      <c r="U159" s="206"/>
      <c r="V159" s="206"/>
      <c r="W159" s="127">
        <f t="shared" ref="W159:W176" si="13">SUM(C159:N159)</f>
        <v>0</v>
      </c>
      <c r="X159" s="128">
        <f t="shared" ref="X159:X176" si="14">SUM(O159:T159)</f>
        <v>0</v>
      </c>
      <c r="Y159" s="128">
        <f t="shared" ref="Y159:Y176" si="15">SUM(U159:V159)</f>
        <v>0</v>
      </c>
      <c r="Z159" s="129">
        <f t="shared" ref="Z159:Z176" si="16">SUM(W159:Y159)</f>
        <v>0</v>
      </c>
      <c r="AA159" s="99">
        <f>VLOOKUP(B159,SourceValues!$B$6:$E$88,2,FALSE)</f>
        <v>3.62</v>
      </c>
      <c r="AB159" s="99">
        <f>VLOOKUP(B159,SourceValues!$B$6:$E$88,3,FALSE)</f>
        <v>4.1887020000000001</v>
      </c>
      <c r="AC159" s="99">
        <f>VLOOKUP(B159,SourceValues!$B$6:$E$88,4,FALSE)</f>
        <v>418.87</v>
      </c>
      <c r="AD159" s="132">
        <f t="shared" si="12"/>
        <v>0</v>
      </c>
    </row>
    <row r="160" spans="1:30" x14ac:dyDescent="0.25">
      <c r="A160" s="68" t="s">
        <v>328</v>
      </c>
      <c r="B160" s="26" t="s">
        <v>10</v>
      </c>
      <c r="C160" s="206"/>
      <c r="D160" s="206"/>
      <c r="E160" s="206"/>
      <c r="F160" s="206"/>
      <c r="G160" s="206"/>
      <c r="H160" s="206"/>
      <c r="I160" s="206"/>
      <c r="J160" s="206"/>
      <c r="K160" s="206"/>
      <c r="L160" s="206"/>
      <c r="M160" s="206"/>
      <c r="N160" s="206"/>
      <c r="O160" s="206"/>
      <c r="P160" s="206"/>
      <c r="Q160" s="206"/>
      <c r="R160" s="206"/>
      <c r="S160" s="206"/>
      <c r="T160" s="206"/>
      <c r="U160" s="206"/>
      <c r="V160" s="206"/>
      <c r="W160" s="127">
        <f t="shared" si="13"/>
        <v>0</v>
      </c>
      <c r="X160" s="128">
        <f t="shared" si="14"/>
        <v>0</v>
      </c>
      <c r="Y160" s="128">
        <f t="shared" si="15"/>
        <v>0</v>
      </c>
      <c r="Z160" s="129">
        <f t="shared" si="16"/>
        <v>0</v>
      </c>
      <c r="AA160" s="99">
        <f>VLOOKUP(B160,SourceValues!$B$6:$E$88,2,FALSE)</f>
        <v>3.57</v>
      </c>
      <c r="AB160" s="99">
        <f>VLOOKUP(B160,SourceValues!$B$6:$E$88,3,FALSE)</f>
        <v>4.1308469999999993</v>
      </c>
      <c r="AC160" s="99">
        <f>VLOOKUP(B160,SourceValues!$B$6:$E$88,4,FALSE)</f>
        <v>413.09</v>
      </c>
      <c r="AD160" s="132">
        <f t="shared" si="12"/>
        <v>0</v>
      </c>
    </row>
    <row r="161" spans="1:32" x14ac:dyDescent="0.25">
      <c r="A161" s="68" t="s">
        <v>329</v>
      </c>
      <c r="B161" s="26" t="s">
        <v>11</v>
      </c>
      <c r="C161" s="206"/>
      <c r="D161" s="206"/>
      <c r="E161" s="206"/>
      <c r="F161" s="206"/>
      <c r="G161" s="206"/>
      <c r="H161" s="206"/>
      <c r="I161" s="206"/>
      <c r="J161" s="206"/>
      <c r="K161" s="206"/>
      <c r="L161" s="206"/>
      <c r="M161" s="206"/>
      <c r="N161" s="206"/>
      <c r="O161" s="206"/>
      <c r="P161" s="206"/>
      <c r="Q161" s="206"/>
      <c r="R161" s="206"/>
      <c r="S161" s="206"/>
      <c r="T161" s="206"/>
      <c r="U161" s="206"/>
      <c r="V161" s="206"/>
      <c r="W161" s="127">
        <f t="shared" si="13"/>
        <v>0</v>
      </c>
      <c r="X161" s="128">
        <f t="shared" si="14"/>
        <v>0</v>
      </c>
      <c r="Y161" s="128">
        <f t="shared" si="15"/>
        <v>0</v>
      </c>
      <c r="Z161" s="129">
        <f t="shared" si="16"/>
        <v>0</v>
      </c>
      <c r="AA161" s="99">
        <f>VLOOKUP(B161,SourceValues!$B$6:$E$88,2,FALSE)</f>
        <v>3</v>
      </c>
      <c r="AB161" s="99">
        <f>VLOOKUP(B161,SourceValues!$B$6:$E$88,3,FALSE)</f>
        <v>3.4712999999999998</v>
      </c>
      <c r="AC161" s="99">
        <f>VLOOKUP(B161,SourceValues!$B$6:$E$88,4,FALSE)</f>
        <v>347.13</v>
      </c>
      <c r="AD161" s="132">
        <f t="shared" si="12"/>
        <v>0</v>
      </c>
    </row>
    <row r="162" spans="1:32" x14ac:dyDescent="0.25">
      <c r="A162" s="68" t="s">
        <v>217</v>
      </c>
      <c r="B162" s="26" t="s">
        <v>47</v>
      </c>
      <c r="C162" s="206"/>
      <c r="D162" s="206"/>
      <c r="E162" s="206"/>
      <c r="F162" s="206"/>
      <c r="G162" s="206"/>
      <c r="H162" s="206"/>
      <c r="I162" s="206"/>
      <c r="J162" s="206"/>
      <c r="K162" s="206"/>
      <c r="L162" s="206"/>
      <c r="M162" s="206"/>
      <c r="N162" s="206"/>
      <c r="O162" s="206"/>
      <c r="P162" s="206"/>
      <c r="Q162" s="206"/>
      <c r="R162" s="206"/>
      <c r="S162" s="206"/>
      <c r="T162" s="206"/>
      <c r="U162" s="206"/>
      <c r="V162" s="206"/>
      <c r="W162" s="127">
        <f t="shared" si="13"/>
        <v>0</v>
      </c>
      <c r="X162" s="128">
        <f t="shared" si="14"/>
        <v>0</v>
      </c>
      <c r="Y162" s="128">
        <f t="shared" si="15"/>
        <v>0</v>
      </c>
      <c r="Z162" s="129">
        <f t="shared" si="16"/>
        <v>0</v>
      </c>
      <c r="AA162" s="99">
        <f>VLOOKUP(B162,SourceValues!$B$6:$E$88,2,FALSE)</f>
        <v>2.56</v>
      </c>
      <c r="AB162" s="99">
        <f>VLOOKUP(B162,SourceValues!$B$6:$E$88,3,FALSE)</f>
        <v>2.9621759999999999</v>
      </c>
      <c r="AC162" s="99">
        <f>VLOOKUP(B162,SourceValues!$B$6:$E$88,4,FALSE)</f>
        <v>296.22000000000003</v>
      </c>
      <c r="AD162" s="132">
        <f t="shared" si="12"/>
        <v>0</v>
      </c>
    </row>
    <row r="163" spans="1:32" x14ac:dyDescent="0.25">
      <c r="A163" s="68" t="s">
        <v>330</v>
      </c>
      <c r="B163" s="26" t="s">
        <v>48</v>
      </c>
      <c r="C163" s="206"/>
      <c r="D163" s="206"/>
      <c r="E163" s="206"/>
      <c r="F163" s="206"/>
      <c r="G163" s="206"/>
      <c r="H163" s="206"/>
      <c r="I163" s="206"/>
      <c r="J163" s="206"/>
      <c r="K163" s="206"/>
      <c r="L163" s="206"/>
      <c r="M163" s="206"/>
      <c r="N163" s="206"/>
      <c r="O163" s="206"/>
      <c r="P163" s="206"/>
      <c r="Q163" s="206"/>
      <c r="R163" s="206"/>
      <c r="S163" s="206"/>
      <c r="T163" s="206"/>
      <c r="U163" s="206"/>
      <c r="V163" s="206"/>
      <c r="W163" s="127">
        <f t="shared" si="13"/>
        <v>0</v>
      </c>
      <c r="X163" s="128">
        <f t="shared" si="14"/>
        <v>0</v>
      </c>
      <c r="Y163" s="128">
        <f t="shared" si="15"/>
        <v>0</v>
      </c>
      <c r="Z163" s="129">
        <f t="shared" si="16"/>
        <v>0</v>
      </c>
      <c r="AA163" s="99">
        <f>VLOOKUP(B163,SourceValues!$B$6:$E$88,2,FALSE)</f>
        <v>4.92</v>
      </c>
      <c r="AB163" s="99">
        <f>VLOOKUP(B163,SourceValues!$B$6:$E$88,3,FALSE)</f>
        <v>5.6929319999999999</v>
      </c>
      <c r="AC163" s="99">
        <f>VLOOKUP(B163,SourceValues!$B$6:$E$88,4,FALSE)</f>
        <v>569.29999999999995</v>
      </c>
      <c r="AD163" s="132">
        <f t="shared" si="12"/>
        <v>0</v>
      </c>
    </row>
    <row r="164" spans="1:32" x14ac:dyDescent="0.25">
      <c r="A164" s="68" t="s">
        <v>280</v>
      </c>
      <c r="B164" s="26" t="s">
        <v>245</v>
      </c>
      <c r="C164" s="206"/>
      <c r="D164" s="206"/>
      <c r="E164" s="206"/>
      <c r="F164" s="206"/>
      <c r="G164" s="206"/>
      <c r="H164" s="206"/>
      <c r="I164" s="206"/>
      <c r="J164" s="206"/>
      <c r="K164" s="206"/>
      <c r="L164" s="206"/>
      <c r="M164" s="206"/>
      <c r="N164" s="206"/>
      <c r="O164" s="206"/>
      <c r="P164" s="206"/>
      <c r="Q164" s="206"/>
      <c r="R164" s="206"/>
      <c r="S164" s="206"/>
      <c r="T164" s="206"/>
      <c r="U164" s="206"/>
      <c r="V164" s="206"/>
      <c r="W164" s="127">
        <f t="shared" si="13"/>
        <v>0</v>
      </c>
      <c r="X164" s="128">
        <f t="shared" si="14"/>
        <v>0</v>
      </c>
      <c r="Y164" s="128">
        <f t="shared" si="15"/>
        <v>0</v>
      </c>
      <c r="Z164" s="129">
        <f t="shared" si="16"/>
        <v>0</v>
      </c>
      <c r="AA164" s="99">
        <f>VLOOKUP(B164,SourceValues!$B$6:$E$88,2,FALSE)</f>
        <v>16.600000000000001</v>
      </c>
      <c r="AB164" s="99">
        <f>VLOOKUP(B164,SourceValues!$B$6:$E$88,3,FALSE)</f>
        <v>19.20786</v>
      </c>
      <c r="AC164" s="99">
        <f>VLOOKUP(B164,SourceValues!$B$6:$E$88,4,FALSE)</f>
        <v>1920.8</v>
      </c>
      <c r="AD164" s="132">
        <f t="shared" si="12"/>
        <v>0</v>
      </c>
    </row>
    <row r="165" spans="1:32" x14ac:dyDescent="0.25">
      <c r="A165" s="68" t="s">
        <v>218</v>
      </c>
      <c r="B165" s="26" t="s">
        <v>43</v>
      </c>
      <c r="C165" s="206"/>
      <c r="D165" s="206"/>
      <c r="E165" s="206"/>
      <c r="F165" s="206"/>
      <c r="G165" s="206"/>
      <c r="H165" s="206"/>
      <c r="I165" s="206"/>
      <c r="J165" s="206"/>
      <c r="K165" s="206"/>
      <c r="L165" s="206"/>
      <c r="M165" s="206"/>
      <c r="N165" s="206"/>
      <c r="O165" s="206"/>
      <c r="P165" s="206"/>
      <c r="Q165" s="206"/>
      <c r="R165" s="206"/>
      <c r="S165" s="206"/>
      <c r="T165" s="206"/>
      <c r="U165" s="206"/>
      <c r="V165" s="206"/>
      <c r="W165" s="127">
        <f t="shared" si="13"/>
        <v>0</v>
      </c>
      <c r="X165" s="128">
        <f t="shared" si="14"/>
        <v>0</v>
      </c>
      <c r="Y165" s="128">
        <f t="shared" si="15"/>
        <v>0</v>
      </c>
      <c r="Z165" s="129">
        <f t="shared" si="16"/>
        <v>0</v>
      </c>
      <c r="AA165" s="99">
        <f>VLOOKUP(B165,SourceValues!$B$6:$E$88,2,FALSE)</f>
        <v>4.16</v>
      </c>
      <c r="AB165" s="99">
        <f>VLOOKUP(B165,SourceValues!$B$6:$E$88,3,FALSE)</f>
        <v>4.813536</v>
      </c>
      <c r="AC165" s="99">
        <f>VLOOKUP(B165,SourceValues!$B$6:$E$88,4,FALSE)</f>
        <v>481.36</v>
      </c>
      <c r="AD165" s="132">
        <f t="shared" si="12"/>
        <v>0</v>
      </c>
    </row>
    <row r="166" spans="1:32" x14ac:dyDescent="0.25">
      <c r="A166" s="68" t="s">
        <v>219</v>
      </c>
      <c r="B166" s="26" t="s">
        <v>44</v>
      </c>
      <c r="C166" s="206"/>
      <c r="D166" s="206"/>
      <c r="E166" s="206"/>
      <c r="F166" s="206"/>
      <c r="G166" s="206"/>
      <c r="H166" s="206"/>
      <c r="I166" s="206"/>
      <c r="J166" s="206"/>
      <c r="K166" s="206"/>
      <c r="L166" s="206"/>
      <c r="M166" s="206"/>
      <c r="N166" s="206"/>
      <c r="O166" s="206"/>
      <c r="P166" s="206"/>
      <c r="Q166" s="206"/>
      <c r="R166" s="206"/>
      <c r="S166" s="206"/>
      <c r="T166" s="206"/>
      <c r="U166" s="206"/>
      <c r="V166" s="206"/>
      <c r="W166" s="127">
        <f t="shared" si="13"/>
        <v>0</v>
      </c>
      <c r="X166" s="128">
        <f t="shared" si="14"/>
        <v>0</v>
      </c>
      <c r="Y166" s="128">
        <f t="shared" si="15"/>
        <v>0</v>
      </c>
      <c r="Z166" s="129">
        <f t="shared" si="16"/>
        <v>0</v>
      </c>
      <c r="AA166" s="99">
        <f>VLOOKUP(B166,SourceValues!$B$6:$E$88,2,FALSE)</f>
        <v>14.13</v>
      </c>
      <c r="AB166" s="99">
        <f>VLOOKUP(B166,SourceValues!$B$6:$E$88,3,FALSE)</f>
        <v>16.349823000000001</v>
      </c>
      <c r="AC166" s="99">
        <f>VLOOKUP(B166,SourceValues!$B$6:$E$88,4,FALSE)</f>
        <v>1635</v>
      </c>
      <c r="AD166" s="132">
        <f t="shared" si="12"/>
        <v>0</v>
      </c>
    </row>
    <row r="167" spans="1:32" x14ac:dyDescent="0.25">
      <c r="A167" s="68" t="s">
        <v>281</v>
      </c>
      <c r="B167" s="26" t="s">
        <v>244</v>
      </c>
      <c r="C167" s="206"/>
      <c r="D167" s="206"/>
      <c r="E167" s="206"/>
      <c r="F167" s="206"/>
      <c r="G167" s="206"/>
      <c r="H167" s="206"/>
      <c r="I167" s="206"/>
      <c r="J167" s="206"/>
      <c r="K167" s="206"/>
      <c r="L167" s="206"/>
      <c r="M167" s="206"/>
      <c r="N167" s="206"/>
      <c r="O167" s="206"/>
      <c r="P167" s="206"/>
      <c r="Q167" s="206"/>
      <c r="R167" s="206"/>
      <c r="S167" s="206"/>
      <c r="T167" s="206"/>
      <c r="U167" s="206"/>
      <c r="V167" s="206"/>
      <c r="W167" s="127">
        <f t="shared" si="13"/>
        <v>0</v>
      </c>
      <c r="X167" s="128">
        <f t="shared" si="14"/>
        <v>0</v>
      </c>
      <c r="Y167" s="128">
        <f t="shared" si="15"/>
        <v>0</v>
      </c>
      <c r="Z167" s="129">
        <f t="shared" si="16"/>
        <v>0</v>
      </c>
      <c r="AA167" s="99">
        <f>VLOOKUP(B167,SourceValues!$B$6:$E$88,2,FALSE)</f>
        <v>2.4700000000000002</v>
      </c>
      <c r="AB167" s="99">
        <f>VLOOKUP(B167,SourceValues!$B$6:$E$88,3,FALSE)</f>
        <v>2.8580369999999999</v>
      </c>
      <c r="AC167" s="99">
        <f>VLOOKUP(B167,SourceValues!$B$6:$E$88,4,FALSE)</f>
        <v>285.81</v>
      </c>
      <c r="AD167" s="132">
        <f t="shared" si="12"/>
        <v>0</v>
      </c>
    </row>
    <row r="168" spans="1:32" x14ac:dyDescent="0.25">
      <c r="A168" s="68" t="s">
        <v>331</v>
      </c>
      <c r="B168" s="26" t="s">
        <v>37</v>
      </c>
      <c r="C168" s="206"/>
      <c r="D168" s="206"/>
      <c r="E168" s="206"/>
      <c r="F168" s="206"/>
      <c r="G168" s="206"/>
      <c r="H168" s="206"/>
      <c r="I168" s="206"/>
      <c r="J168" s="206"/>
      <c r="K168" s="206"/>
      <c r="L168" s="206"/>
      <c r="M168" s="206"/>
      <c r="N168" s="206"/>
      <c r="O168" s="206"/>
      <c r="P168" s="206"/>
      <c r="Q168" s="206"/>
      <c r="R168" s="206"/>
      <c r="S168" s="206"/>
      <c r="T168" s="206"/>
      <c r="U168" s="206"/>
      <c r="V168" s="206"/>
      <c r="W168" s="127">
        <f t="shared" si="13"/>
        <v>0</v>
      </c>
      <c r="X168" s="128">
        <f t="shared" si="14"/>
        <v>0</v>
      </c>
      <c r="Y168" s="128">
        <f t="shared" si="15"/>
        <v>0</v>
      </c>
      <c r="Z168" s="129">
        <f t="shared" si="16"/>
        <v>0</v>
      </c>
      <c r="AA168" s="99">
        <f>VLOOKUP(B168,SourceValues!$B$6:$E$88,2,FALSE)</f>
        <v>1.38</v>
      </c>
      <c r="AB168" s="99">
        <f>VLOOKUP(B168,SourceValues!$B$6:$E$88,3,FALSE)</f>
        <v>1.5967979999999997</v>
      </c>
      <c r="AC168" s="99">
        <f>VLOOKUP(B168,SourceValues!$B$6:$E$88,4,FALSE)</f>
        <v>159.68</v>
      </c>
      <c r="AD168" s="132">
        <f t="shared" si="12"/>
        <v>0</v>
      </c>
    </row>
    <row r="169" spans="1:32" x14ac:dyDescent="0.25">
      <c r="A169" s="68" t="s">
        <v>220</v>
      </c>
      <c r="B169" s="26" t="s">
        <v>46</v>
      </c>
      <c r="C169" s="206"/>
      <c r="D169" s="206"/>
      <c r="E169" s="206"/>
      <c r="F169" s="206"/>
      <c r="G169" s="206"/>
      <c r="H169" s="206"/>
      <c r="I169" s="206"/>
      <c r="J169" s="206"/>
      <c r="K169" s="206"/>
      <c r="L169" s="206"/>
      <c r="M169" s="206"/>
      <c r="N169" s="206"/>
      <c r="O169" s="206"/>
      <c r="P169" s="206"/>
      <c r="Q169" s="206"/>
      <c r="R169" s="206"/>
      <c r="S169" s="206"/>
      <c r="T169" s="206"/>
      <c r="U169" s="206"/>
      <c r="V169" s="206"/>
      <c r="W169" s="127">
        <f t="shared" si="13"/>
        <v>0</v>
      </c>
      <c r="X169" s="128">
        <f t="shared" si="14"/>
        <v>0</v>
      </c>
      <c r="Y169" s="128">
        <f t="shared" si="15"/>
        <v>0</v>
      </c>
      <c r="Z169" s="129">
        <f t="shared" si="16"/>
        <v>0</v>
      </c>
      <c r="AA169" s="99">
        <f>VLOOKUP(B169,SourceValues!$B$6:$E$88,2,FALSE)</f>
        <v>0.62</v>
      </c>
      <c r="AB169" s="99">
        <f>VLOOKUP(B169,SourceValues!$B$6:$E$88,3,FALSE)</f>
        <v>0.71740199999999998</v>
      </c>
      <c r="AC169" s="99">
        <f>VLOOKUP(B169,SourceValues!$B$6:$E$88,4,FALSE)</f>
        <v>71.739999999999995</v>
      </c>
      <c r="AD169" s="132">
        <f t="shared" si="12"/>
        <v>0</v>
      </c>
      <c r="AE169" s="85" t="s">
        <v>347</v>
      </c>
      <c r="AF169" s="85" t="s">
        <v>349</v>
      </c>
    </row>
    <row r="170" spans="1:32" x14ac:dyDescent="0.25">
      <c r="A170" s="68" t="s">
        <v>332</v>
      </c>
      <c r="B170" s="26" t="s">
        <v>45</v>
      </c>
      <c r="C170" s="206"/>
      <c r="D170" s="206"/>
      <c r="E170" s="206"/>
      <c r="F170" s="206"/>
      <c r="G170" s="206"/>
      <c r="H170" s="206"/>
      <c r="I170" s="206"/>
      <c r="J170" s="206"/>
      <c r="K170" s="206"/>
      <c r="L170" s="206"/>
      <c r="M170" s="206"/>
      <c r="N170" s="206"/>
      <c r="O170" s="206"/>
      <c r="P170" s="206"/>
      <c r="Q170" s="206"/>
      <c r="R170" s="206"/>
      <c r="S170" s="206"/>
      <c r="T170" s="206"/>
      <c r="U170" s="206"/>
      <c r="V170" s="206"/>
      <c r="W170" s="127">
        <f t="shared" si="13"/>
        <v>0</v>
      </c>
      <c r="X170" s="128">
        <f t="shared" si="14"/>
        <v>0</v>
      </c>
      <c r="Y170" s="128">
        <f t="shared" si="15"/>
        <v>0</v>
      </c>
      <c r="Z170" s="129">
        <f t="shared" si="16"/>
        <v>0</v>
      </c>
      <c r="AA170" s="99">
        <f>VLOOKUP(B170,SourceValues!$B$6:$E$88,2,FALSE)</f>
        <v>0.39</v>
      </c>
      <c r="AB170" s="99">
        <f>VLOOKUP(B170,SourceValues!$B$6:$E$88,3,FALSE)</f>
        <v>0.45126899999999998</v>
      </c>
      <c r="AC170" s="99">
        <f>VLOOKUP(B170,SourceValues!$B$6:$E$88,4,FALSE)</f>
        <v>45.13</v>
      </c>
      <c r="AD170" s="132">
        <f t="shared" si="12"/>
        <v>0</v>
      </c>
      <c r="AE170" s="86">
        <f>SUM(Z112,Z113,Z147)</f>
        <v>0</v>
      </c>
      <c r="AF170" s="86">
        <f>SUM(AE170,'Day9'!AF170)</f>
        <v>0</v>
      </c>
    </row>
    <row r="171" spans="1:32" x14ac:dyDescent="0.25">
      <c r="A171" s="68" t="s">
        <v>333</v>
      </c>
      <c r="B171" s="26" t="s">
        <v>28</v>
      </c>
      <c r="C171" s="206"/>
      <c r="D171" s="206"/>
      <c r="E171" s="206"/>
      <c r="F171" s="206"/>
      <c r="G171" s="206"/>
      <c r="H171" s="206"/>
      <c r="I171" s="206"/>
      <c r="J171" s="206"/>
      <c r="K171" s="206"/>
      <c r="L171" s="206"/>
      <c r="M171" s="206"/>
      <c r="N171" s="206"/>
      <c r="O171" s="206"/>
      <c r="P171" s="206"/>
      <c r="Q171" s="206"/>
      <c r="R171" s="206"/>
      <c r="S171" s="206"/>
      <c r="T171" s="206"/>
      <c r="U171" s="206"/>
      <c r="V171" s="206"/>
      <c r="W171" s="127">
        <f t="shared" si="13"/>
        <v>0</v>
      </c>
      <c r="X171" s="128">
        <f t="shared" si="14"/>
        <v>0</v>
      </c>
      <c r="Y171" s="128">
        <f t="shared" si="15"/>
        <v>0</v>
      </c>
      <c r="Z171" s="129">
        <f t="shared" si="16"/>
        <v>0</v>
      </c>
      <c r="AA171" s="99">
        <f>VLOOKUP(B171,SourceValues!$B$6:$E$88,2,FALSE)</f>
        <v>1.47</v>
      </c>
      <c r="AB171" s="99">
        <f>VLOOKUP(B171,SourceValues!$B$6:$E$88,3,FALSE)</f>
        <v>1.7009369999999999</v>
      </c>
      <c r="AC171" s="99">
        <f>VLOOKUP(B171,SourceValues!$B$6:$E$88,4,FALSE)</f>
        <v>170.1</v>
      </c>
      <c r="AD171" s="132">
        <f t="shared" si="12"/>
        <v>0</v>
      </c>
      <c r="AE171" s="85" t="s">
        <v>346</v>
      </c>
      <c r="AF171" s="85" t="s">
        <v>350</v>
      </c>
    </row>
    <row r="172" spans="1:32" x14ac:dyDescent="0.25">
      <c r="A172" s="68" t="s">
        <v>221</v>
      </c>
      <c r="B172" s="26" t="s">
        <v>36</v>
      </c>
      <c r="C172" s="206"/>
      <c r="D172" s="206"/>
      <c r="E172" s="206"/>
      <c r="F172" s="206"/>
      <c r="G172" s="206"/>
      <c r="H172" s="206"/>
      <c r="I172" s="206"/>
      <c r="J172" s="206"/>
      <c r="K172" s="206"/>
      <c r="L172" s="206"/>
      <c r="M172" s="206"/>
      <c r="N172" s="206"/>
      <c r="O172" s="206"/>
      <c r="P172" s="206"/>
      <c r="Q172" s="206"/>
      <c r="R172" s="206"/>
      <c r="S172" s="206"/>
      <c r="T172" s="206"/>
      <c r="U172" s="206"/>
      <c r="V172" s="206"/>
      <c r="W172" s="127">
        <f t="shared" si="13"/>
        <v>0</v>
      </c>
      <c r="X172" s="128">
        <f t="shared" si="14"/>
        <v>0</v>
      </c>
      <c r="Y172" s="128">
        <f t="shared" si="15"/>
        <v>0</v>
      </c>
      <c r="Z172" s="129">
        <f t="shared" si="16"/>
        <v>0</v>
      </c>
      <c r="AA172" s="99">
        <f>VLOOKUP(B172,SourceValues!$B$6:$E$88,2,FALSE)</f>
        <v>0.34</v>
      </c>
      <c r="AB172" s="99">
        <f>VLOOKUP(B172,SourceValues!$B$6:$E$88,3,FALSE)</f>
        <v>0.39341399999999999</v>
      </c>
      <c r="AC172" s="99">
        <f>VLOOKUP(B172,SourceValues!$B$6:$E$88,4,FALSE)</f>
        <v>39.340000000000003</v>
      </c>
      <c r="AD172" s="132">
        <f t="shared" si="12"/>
        <v>0</v>
      </c>
      <c r="AE172" s="86">
        <f>SUM(Z122:Z138)</f>
        <v>0</v>
      </c>
      <c r="AF172" s="86">
        <f>SUM(AE172,'Day9'!AF172)</f>
        <v>0</v>
      </c>
    </row>
    <row r="173" spans="1:32" x14ac:dyDescent="0.25">
      <c r="A173" s="68" t="s">
        <v>282</v>
      </c>
      <c r="B173" s="26" t="s">
        <v>243</v>
      </c>
      <c r="C173" s="206"/>
      <c r="D173" s="206"/>
      <c r="E173" s="206"/>
      <c r="F173" s="206"/>
      <c r="G173" s="206"/>
      <c r="H173" s="206"/>
      <c r="I173" s="206"/>
      <c r="J173" s="206"/>
      <c r="K173" s="206"/>
      <c r="L173" s="206"/>
      <c r="M173" s="206"/>
      <c r="N173" s="206"/>
      <c r="O173" s="206"/>
      <c r="P173" s="206"/>
      <c r="Q173" s="206"/>
      <c r="R173" s="206"/>
      <c r="S173" s="206"/>
      <c r="T173" s="206"/>
      <c r="U173" s="206"/>
      <c r="V173" s="206"/>
      <c r="W173" s="127">
        <f t="shared" si="13"/>
        <v>0</v>
      </c>
      <c r="X173" s="128">
        <f t="shared" si="14"/>
        <v>0</v>
      </c>
      <c r="Y173" s="128">
        <f t="shared" si="15"/>
        <v>0</v>
      </c>
      <c r="Z173" s="129">
        <f t="shared" si="16"/>
        <v>0</v>
      </c>
      <c r="AA173" s="99">
        <f>VLOOKUP(B173,SourceValues!$B$6:$E$88,2,FALSE)</f>
        <v>0.66</v>
      </c>
      <c r="AB173" s="99">
        <f>VLOOKUP(B173,SourceValues!$B$6:$E$88,3,FALSE)</f>
        <v>0.76368599999999998</v>
      </c>
      <c r="AC173" s="99">
        <f>VLOOKUP(B173,SourceValues!$B$6:$E$88,4,FALSE)</f>
        <v>76.37</v>
      </c>
      <c r="AD173" s="132">
        <f t="shared" si="12"/>
        <v>0</v>
      </c>
      <c r="AE173" s="85" t="s">
        <v>348</v>
      </c>
      <c r="AF173" s="85" t="s">
        <v>351</v>
      </c>
    </row>
    <row r="174" spans="1:32" x14ac:dyDescent="0.25">
      <c r="A174" s="68" t="s">
        <v>334</v>
      </c>
      <c r="B174" s="26" t="s">
        <v>41</v>
      </c>
      <c r="C174" s="206"/>
      <c r="D174" s="206"/>
      <c r="E174" s="206"/>
      <c r="F174" s="206"/>
      <c r="G174" s="206"/>
      <c r="H174" s="206"/>
      <c r="I174" s="206"/>
      <c r="J174" s="206"/>
      <c r="K174" s="206"/>
      <c r="L174" s="206"/>
      <c r="M174" s="206"/>
      <c r="N174" s="206"/>
      <c r="O174" s="206"/>
      <c r="P174" s="206"/>
      <c r="Q174" s="206"/>
      <c r="R174" s="206"/>
      <c r="S174" s="206"/>
      <c r="T174" s="206"/>
      <c r="U174" s="206"/>
      <c r="V174" s="206"/>
      <c r="W174" s="127">
        <f t="shared" si="13"/>
        <v>0</v>
      </c>
      <c r="X174" s="128">
        <f t="shared" si="14"/>
        <v>0</v>
      </c>
      <c r="Y174" s="128">
        <f t="shared" si="15"/>
        <v>0</v>
      </c>
      <c r="Z174" s="129">
        <f t="shared" si="16"/>
        <v>0</v>
      </c>
      <c r="AA174" s="99">
        <f>VLOOKUP(B174,SourceValues!$B$6:$E$88,2,FALSE)</f>
        <v>1.27</v>
      </c>
      <c r="AB174" s="99">
        <f>VLOOKUP(B174,SourceValues!$B$6:$E$88,3,FALSE)</f>
        <v>1.469517</v>
      </c>
      <c r="AC174" s="99">
        <f>VLOOKUP(B174,SourceValues!$B$6:$E$88,4,FALSE)</f>
        <v>146.94999999999999</v>
      </c>
      <c r="AD174" s="132">
        <f t="shared" si="12"/>
        <v>0</v>
      </c>
      <c r="AE174" s="86">
        <f>SUM(Z154:Z159)</f>
        <v>0</v>
      </c>
      <c r="AF174" s="86">
        <f>SUM(AE174,'Day9'!AF174)</f>
        <v>0</v>
      </c>
    </row>
    <row r="175" spans="1:32" x14ac:dyDescent="0.25">
      <c r="A175" s="68" t="s">
        <v>283</v>
      </c>
      <c r="B175" s="26" t="s">
        <v>242</v>
      </c>
      <c r="C175" s="206"/>
      <c r="D175" s="206"/>
      <c r="E175" s="206"/>
      <c r="F175" s="206"/>
      <c r="G175" s="206"/>
      <c r="H175" s="206"/>
      <c r="I175" s="206"/>
      <c r="J175" s="206"/>
      <c r="K175" s="206"/>
      <c r="L175" s="206"/>
      <c r="M175" s="206"/>
      <c r="N175" s="206"/>
      <c r="O175" s="206"/>
      <c r="P175" s="206"/>
      <c r="Q175" s="206"/>
      <c r="R175" s="206"/>
      <c r="S175" s="206"/>
      <c r="T175" s="206"/>
      <c r="U175" s="206"/>
      <c r="V175" s="206"/>
      <c r="W175" s="127">
        <f t="shared" si="13"/>
        <v>0</v>
      </c>
      <c r="X175" s="128">
        <f t="shared" si="14"/>
        <v>0</v>
      </c>
      <c r="Y175" s="128">
        <f t="shared" si="15"/>
        <v>0</v>
      </c>
      <c r="Z175" s="129">
        <f t="shared" si="16"/>
        <v>0</v>
      </c>
      <c r="AA175" s="99">
        <f>VLOOKUP(B175,SourceValues!$B$6:$E$88,2,FALSE)</f>
        <v>1.47</v>
      </c>
      <c r="AB175" s="99">
        <f>VLOOKUP(B175,SourceValues!$B$6:$E$88,3,FALSE)</f>
        <v>1.7009369999999999</v>
      </c>
      <c r="AC175" s="99">
        <f>VLOOKUP(B175,SourceValues!$B$6:$E$88,4,FALSE)</f>
        <v>170.1</v>
      </c>
      <c r="AD175" s="132">
        <f t="shared" si="12"/>
        <v>0</v>
      </c>
      <c r="AE175" s="85" t="s">
        <v>338</v>
      </c>
    </row>
    <row r="176" spans="1:32" x14ac:dyDescent="0.25">
      <c r="A176" s="68" t="s">
        <v>222</v>
      </c>
      <c r="B176" s="26" t="s">
        <v>34</v>
      </c>
      <c r="C176" s="206"/>
      <c r="D176" s="206"/>
      <c r="E176" s="206"/>
      <c r="F176" s="206"/>
      <c r="G176" s="206"/>
      <c r="H176" s="206"/>
      <c r="I176" s="206"/>
      <c r="J176" s="206"/>
      <c r="K176" s="206"/>
      <c r="L176" s="206"/>
      <c r="M176" s="206"/>
      <c r="N176" s="206"/>
      <c r="O176" s="206"/>
      <c r="P176" s="206"/>
      <c r="Q176" s="206"/>
      <c r="R176" s="206"/>
      <c r="S176" s="206"/>
      <c r="T176" s="206"/>
      <c r="U176" s="206"/>
      <c r="V176" s="206"/>
      <c r="W176" s="127">
        <f t="shared" si="13"/>
        <v>0</v>
      </c>
      <c r="X176" s="128">
        <f t="shared" si="14"/>
        <v>0</v>
      </c>
      <c r="Y176" s="128">
        <f t="shared" si="15"/>
        <v>0</v>
      </c>
      <c r="Z176" s="129">
        <f t="shared" si="16"/>
        <v>0</v>
      </c>
      <c r="AA176" s="99">
        <f>VLOOKUP(B176,SourceValues!$B$6:$E$88,2,FALSE)</f>
        <v>0</v>
      </c>
      <c r="AB176" s="99">
        <f>VLOOKUP(B176,SourceValues!$B$6:$E$88,3,FALSE)</f>
        <v>0</v>
      </c>
      <c r="AC176" s="99">
        <f>VLOOKUP(B176,SourceValues!$B$6:$E$88,4,FALSE)</f>
        <v>0</v>
      </c>
      <c r="AD176" s="132">
        <f t="shared" si="12"/>
        <v>0</v>
      </c>
      <c r="AE176" s="86">
        <f>Z177+'Day9'!AE176</f>
        <v>0</v>
      </c>
    </row>
    <row r="177" spans="1:31" x14ac:dyDescent="0.25">
      <c r="A177" s="74" t="s">
        <v>107</v>
      </c>
      <c r="B177" s="75"/>
      <c r="C177" s="75">
        <f>SUM(C96:C156)</f>
        <v>0</v>
      </c>
      <c r="D177" s="75">
        <f>SUM(D96:D156)</f>
        <v>0</v>
      </c>
      <c r="E177" s="75">
        <v>0</v>
      </c>
      <c r="F177" s="75">
        <f>SUM(F96:F156)</f>
        <v>0</v>
      </c>
      <c r="G177" s="75"/>
      <c r="H177" s="75"/>
      <c r="I177" s="75"/>
      <c r="J177" s="75"/>
      <c r="K177" s="75"/>
      <c r="L177" s="75"/>
      <c r="M177" s="75"/>
      <c r="N177" s="75">
        <f>SUM(N96:N156)</f>
        <v>0</v>
      </c>
      <c r="O177" s="75"/>
      <c r="P177" s="75"/>
      <c r="Q177" s="75"/>
      <c r="R177" s="75"/>
      <c r="S177" s="75">
        <f>SUM(S96:S156)</f>
        <v>0</v>
      </c>
      <c r="T177" s="75"/>
      <c r="U177" s="75"/>
      <c r="V177" s="75"/>
      <c r="W177" s="76">
        <f>SUM(W95:W176)</f>
        <v>0</v>
      </c>
      <c r="X177" s="76">
        <f>SUM(X95:X176)</f>
        <v>0</v>
      </c>
      <c r="Y177" s="76">
        <f>SUM(Y95:Y176)</f>
        <v>0</v>
      </c>
      <c r="Z177" s="76">
        <f>SUM(Z95:Z176)</f>
        <v>0</v>
      </c>
      <c r="AA177" s="77" t="s">
        <v>124</v>
      </c>
      <c r="AB177" s="77" t="s">
        <v>124</v>
      </c>
      <c r="AC177" s="78" t="s">
        <v>124</v>
      </c>
      <c r="AD177" s="85">
        <f>SUM(AD94:AD176)</f>
        <v>0</v>
      </c>
      <c r="AE177" s="85" t="s">
        <v>337</v>
      </c>
    </row>
    <row r="178" spans="1:31" s="6" customFormat="1" ht="20.25" x14ac:dyDescent="0.25">
      <c r="A178" s="36" t="s">
        <v>108</v>
      </c>
      <c r="B178" s="37"/>
      <c r="C178" s="37"/>
      <c r="D178" s="37"/>
      <c r="E178" s="37"/>
      <c r="F178" s="37"/>
      <c r="G178" s="37"/>
      <c r="H178" s="37"/>
      <c r="I178" s="37"/>
      <c r="J178" s="37"/>
      <c r="K178" s="37"/>
      <c r="L178" s="37"/>
      <c r="M178" s="37"/>
      <c r="N178" s="37"/>
      <c r="O178" s="37"/>
      <c r="P178" s="37"/>
      <c r="Q178" s="37"/>
      <c r="R178" s="37"/>
      <c r="S178" s="37"/>
      <c r="T178" s="37"/>
      <c r="U178" s="37"/>
      <c r="V178" s="37"/>
      <c r="W178" s="86"/>
      <c r="X178" s="86"/>
      <c r="Y178" s="86"/>
      <c r="Z178" s="87"/>
      <c r="AA178" s="86"/>
      <c r="AB178" s="86"/>
      <c r="AC178" s="86"/>
      <c r="AD178" s="207">
        <f>AD177+'Day9'!AD178</f>
        <v>0</v>
      </c>
      <c r="AE178" s="86">
        <f>Z94+'Day9'!AE178</f>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3D7D3A6-8280-4A06-880D-9FC01A5102A8}">
          <x14:formula1>
            <xm:f>ProjectDetails!B12:B18</xm:f>
          </x14:formula1>
          <xm:sqref>B4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3480F-E623-4B35-ACF7-985D9E4984BC}">
  <sheetPr codeName="Sheet8"/>
  <dimension ref="A2:K54"/>
  <sheetViews>
    <sheetView topLeftCell="A24" zoomScale="80" zoomScaleNormal="80" workbookViewId="0">
      <selection activeCell="C42" sqref="C42"/>
    </sheetView>
  </sheetViews>
  <sheetFormatPr defaultColWidth="8.85546875" defaultRowHeight="15" x14ac:dyDescent="0.25"/>
  <cols>
    <col min="1" max="1" width="14.7109375" bestFit="1" customWidth="1"/>
    <col min="2" max="2" width="16.42578125" customWidth="1"/>
    <col min="3" max="3" width="28.28515625" customWidth="1"/>
    <col min="10" max="10" width="8.85546875" customWidth="1"/>
    <col min="11" max="11" width="17.42578125" customWidth="1"/>
  </cols>
  <sheetData>
    <row r="2" spans="1:11" x14ac:dyDescent="0.25">
      <c r="I2" t="s">
        <v>68</v>
      </c>
    </row>
    <row r="3" spans="1:11" ht="21" x14ac:dyDescent="0.35">
      <c r="B3" s="8" t="s">
        <v>69</v>
      </c>
      <c r="I3" t="s">
        <v>70</v>
      </c>
    </row>
    <row r="4" spans="1:11" x14ac:dyDescent="0.25">
      <c r="H4" t="s">
        <v>71</v>
      </c>
    </row>
    <row r="5" spans="1:11" x14ac:dyDescent="0.25">
      <c r="B5" s="6" t="s">
        <v>72</v>
      </c>
    </row>
    <row r="8" spans="1:11" x14ac:dyDescent="0.25">
      <c r="K8" s="9"/>
    </row>
    <row r="9" spans="1:11" x14ac:dyDescent="0.25">
      <c r="A9" s="6" t="s">
        <v>73</v>
      </c>
      <c r="B9" s="3" t="s">
        <v>196</v>
      </c>
      <c r="K9" s="117" t="s">
        <v>156</v>
      </c>
    </row>
    <row r="10" spans="1:11" x14ac:dyDescent="0.25">
      <c r="K10" s="117" t="s">
        <v>152</v>
      </c>
    </row>
    <row r="11" spans="1:11" s="10" customFormat="1" x14ac:dyDescent="0.25">
      <c r="A11" s="10" t="s">
        <v>74</v>
      </c>
      <c r="B11" s="10" t="s">
        <v>75</v>
      </c>
      <c r="K11" s="117" t="s">
        <v>59</v>
      </c>
    </row>
    <row r="12" spans="1:11" x14ac:dyDescent="0.25">
      <c r="A12" t="s">
        <v>76</v>
      </c>
      <c r="B12" s="3" t="s">
        <v>197</v>
      </c>
      <c r="K12" s="117" t="s">
        <v>157</v>
      </c>
    </row>
    <row r="13" spans="1:11" x14ac:dyDescent="0.25">
      <c r="A13" t="s">
        <v>77</v>
      </c>
      <c r="B13" s="3"/>
      <c r="K13" s="118" t="s">
        <v>158</v>
      </c>
    </row>
    <row r="14" spans="1:11" x14ac:dyDescent="0.25">
      <c r="A14" t="s">
        <v>78</v>
      </c>
      <c r="B14" s="3"/>
      <c r="K14" s="118" t="s">
        <v>153</v>
      </c>
    </row>
    <row r="15" spans="1:11" x14ac:dyDescent="0.25">
      <c r="A15" t="s">
        <v>79</v>
      </c>
      <c r="B15" s="3"/>
      <c r="K15" s="117" t="s">
        <v>154</v>
      </c>
    </row>
    <row r="16" spans="1:11" x14ac:dyDescent="0.25">
      <c r="A16" t="s">
        <v>80</v>
      </c>
      <c r="B16" s="3"/>
      <c r="K16" s="117" t="s">
        <v>64</v>
      </c>
    </row>
    <row r="17" spans="1:11" x14ac:dyDescent="0.25">
      <c r="A17" t="s">
        <v>81</v>
      </c>
      <c r="B17" s="3"/>
      <c r="K17" s="118" t="s">
        <v>155</v>
      </c>
    </row>
    <row r="18" spans="1:11" x14ac:dyDescent="0.25">
      <c r="A18" t="s">
        <v>82</v>
      </c>
      <c r="B18" s="3"/>
      <c r="K18" s="118" t="s">
        <v>224</v>
      </c>
    </row>
    <row r="20" spans="1:11" s="10" customFormat="1" x14ac:dyDescent="0.25">
      <c r="A20" s="10" t="s">
        <v>83</v>
      </c>
      <c r="B20" s="10" t="s">
        <v>84</v>
      </c>
      <c r="K20" s="9"/>
    </row>
    <row r="21" spans="1:11" x14ac:dyDescent="0.25">
      <c r="A21" t="s">
        <v>85</v>
      </c>
      <c r="B21" s="11">
        <v>45090</v>
      </c>
      <c r="K21" s="9"/>
    </row>
    <row r="22" spans="1:11" x14ac:dyDescent="0.25">
      <c r="A22" t="s">
        <v>86</v>
      </c>
      <c r="B22" s="11">
        <v>45091</v>
      </c>
      <c r="K22" s="9"/>
    </row>
    <row r="23" spans="1:11" x14ac:dyDescent="0.25">
      <c r="A23" t="s">
        <v>87</v>
      </c>
      <c r="B23" s="11">
        <v>45092</v>
      </c>
      <c r="K23" s="9"/>
    </row>
    <row r="24" spans="1:11" x14ac:dyDescent="0.25">
      <c r="A24" t="s">
        <v>88</v>
      </c>
      <c r="B24" s="11">
        <v>45093</v>
      </c>
      <c r="K24" s="9"/>
    </row>
    <row r="25" spans="1:11" x14ac:dyDescent="0.25">
      <c r="A25" t="s">
        <v>89</v>
      </c>
      <c r="B25" s="11">
        <v>45096</v>
      </c>
      <c r="K25" s="9"/>
    </row>
    <row r="26" spans="1:11" x14ac:dyDescent="0.25">
      <c r="A26" t="s">
        <v>90</v>
      </c>
      <c r="B26" s="11">
        <v>45097</v>
      </c>
      <c r="K26" s="9"/>
    </row>
    <row r="27" spans="1:11" x14ac:dyDescent="0.25">
      <c r="A27" t="s">
        <v>91</v>
      </c>
      <c r="B27" s="11">
        <v>45098</v>
      </c>
    </row>
    <row r="28" spans="1:11" x14ac:dyDescent="0.25">
      <c r="A28" t="s">
        <v>92</v>
      </c>
      <c r="B28" s="11">
        <v>45099</v>
      </c>
    </row>
    <row r="29" spans="1:11" x14ac:dyDescent="0.25">
      <c r="A29" t="s">
        <v>93</v>
      </c>
      <c r="B29" s="11"/>
    </row>
    <row r="30" spans="1:11" x14ac:dyDescent="0.25">
      <c r="A30" t="s">
        <v>94</v>
      </c>
      <c r="B30" s="11"/>
    </row>
    <row r="31" spans="1:11" x14ac:dyDescent="0.25">
      <c r="B31" s="119"/>
    </row>
    <row r="32" spans="1:11" x14ac:dyDescent="0.25">
      <c r="B32" s="12"/>
    </row>
    <row r="34" spans="1:8" x14ac:dyDescent="0.25">
      <c r="A34" t="s">
        <v>56</v>
      </c>
    </row>
    <row r="35" spans="1:8" x14ac:dyDescent="0.25">
      <c r="A35" t="s">
        <v>57</v>
      </c>
      <c r="B35" s="3" t="s">
        <v>155</v>
      </c>
    </row>
    <row r="36" spans="1:8" x14ac:dyDescent="0.25">
      <c r="A36" t="s">
        <v>58</v>
      </c>
      <c r="B36" s="3" t="s">
        <v>152</v>
      </c>
    </row>
    <row r="37" spans="1:8" x14ac:dyDescent="0.25">
      <c r="A37" t="s">
        <v>60</v>
      </c>
      <c r="B37" s="3" t="s">
        <v>224</v>
      </c>
    </row>
    <row r="38" spans="1:8" x14ac:dyDescent="0.25">
      <c r="A38" t="s">
        <v>61</v>
      </c>
      <c r="B38" s="3"/>
    </row>
    <row r="39" spans="1:8" x14ac:dyDescent="0.25">
      <c r="A39" t="s">
        <v>62</v>
      </c>
      <c r="B39" s="3"/>
    </row>
    <row r="40" spans="1:8" x14ac:dyDescent="0.25">
      <c r="A40" t="s">
        <v>63</v>
      </c>
      <c r="B40" s="3"/>
    </row>
    <row r="41" spans="1:8" x14ac:dyDescent="0.25">
      <c r="A41" t="s">
        <v>65</v>
      </c>
      <c r="B41" s="3"/>
    </row>
    <row r="42" spans="1:8" x14ac:dyDescent="0.25">
      <c r="B42" s="133"/>
    </row>
    <row r="44" spans="1:8" x14ac:dyDescent="0.25">
      <c r="A44" t="s">
        <v>119</v>
      </c>
      <c r="B44" t="s">
        <v>139</v>
      </c>
      <c r="C44" t="s">
        <v>120</v>
      </c>
      <c r="E44" t="s">
        <v>126</v>
      </c>
      <c r="F44" t="s">
        <v>148</v>
      </c>
      <c r="G44" t="s">
        <v>149</v>
      </c>
      <c r="H44" t="s">
        <v>150</v>
      </c>
    </row>
    <row r="45" spans="1:8" x14ac:dyDescent="0.25">
      <c r="A45" t="s">
        <v>109</v>
      </c>
      <c r="B45" s="3" t="s">
        <v>155</v>
      </c>
      <c r="C45" s="44" t="s">
        <v>189</v>
      </c>
      <c r="E45" s="5" t="s">
        <v>127</v>
      </c>
      <c r="F45" s="92" t="s">
        <v>131</v>
      </c>
      <c r="G45" s="116" t="s">
        <v>145</v>
      </c>
      <c r="H45" s="115" t="s">
        <v>132</v>
      </c>
    </row>
    <row r="46" spans="1:8" x14ac:dyDescent="0.25">
      <c r="A46" t="s">
        <v>110</v>
      </c>
      <c r="B46" s="3" t="s">
        <v>155</v>
      </c>
      <c r="C46" s="44" t="s">
        <v>190</v>
      </c>
      <c r="E46" s="5" t="s">
        <v>128</v>
      </c>
      <c r="F46" s="92" t="s">
        <v>133</v>
      </c>
      <c r="G46" s="116" t="s">
        <v>146</v>
      </c>
      <c r="H46" s="115" t="s">
        <v>134</v>
      </c>
    </row>
    <row r="47" spans="1:8" x14ac:dyDescent="0.25">
      <c r="A47" t="s">
        <v>111</v>
      </c>
      <c r="B47" s="3" t="s">
        <v>155</v>
      </c>
      <c r="C47" s="44" t="s">
        <v>192</v>
      </c>
      <c r="E47" s="5" t="s">
        <v>129</v>
      </c>
      <c r="F47" s="92" t="s">
        <v>135</v>
      </c>
      <c r="G47" s="116" t="s">
        <v>147</v>
      </c>
      <c r="H47" s="115" t="s">
        <v>136</v>
      </c>
    </row>
    <row r="48" spans="1:8" x14ac:dyDescent="0.25">
      <c r="A48" t="s">
        <v>112</v>
      </c>
      <c r="B48" s="3" t="s">
        <v>155</v>
      </c>
      <c r="C48" s="44" t="s">
        <v>193</v>
      </c>
      <c r="E48" s="5" t="s">
        <v>130</v>
      </c>
      <c r="F48" s="92" t="s">
        <v>101</v>
      </c>
      <c r="G48" s="116" t="s">
        <v>151</v>
      </c>
      <c r="H48" s="115" t="s">
        <v>137</v>
      </c>
    </row>
    <row r="49" spans="1:3" x14ac:dyDescent="0.25">
      <c r="A49" t="s">
        <v>113</v>
      </c>
      <c r="B49" s="3" t="s">
        <v>155</v>
      </c>
      <c r="C49" s="44" t="s">
        <v>191</v>
      </c>
    </row>
    <row r="50" spans="1:3" x14ac:dyDescent="0.25">
      <c r="A50" t="s">
        <v>114</v>
      </c>
      <c r="B50" s="3" t="s">
        <v>158</v>
      </c>
      <c r="C50" s="44" t="s">
        <v>195</v>
      </c>
    </row>
    <row r="51" spans="1:3" x14ac:dyDescent="0.25">
      <c r="A51" t="s">
        <v>115</v>
      </c>
      <c r="B51" s="3" t="s">
        <v>59</v>
      </c>
      <c r="C51" s="44" t="s">
        <v>194</v>
      </c>
    </row>
    <row r="52" spans="1:3" x14ac:dyDescent="0.25">
      <c r="A52" t="s">
        <v>116</v>
      </c>
      <c r="B52" s="3"/>
      <c r="C52" s="44"/>
    </row>
    <row r="53" spans="1:3" x14ac:dyDescent="0.25">
      <c r="A53" t="s">
        <v>117</v>
      </c>
      <c r="B53" s="3"/>
      <c r="C53" s="44"/>
    </row>
    <row r="54" spans="1:3" x14ac:dyDescent="0.25">
      <c r="A54" t="s">
        <v>118</v>
      </c>
      <c r="B54" s="3"/>
      <c r="C54" s="44"/>
    </row>
  </sheetData>
  <sheetProtection selectLockedCells="1"/>
  <phoneticPr fontId="18" type="noConversion"/>
  <dataValidations count="2">
    <dataValidation type="list" allowBlank="1" showInputMessage="1" showErrorMessage="1" sqref="B35:B41" xr:uid="{2886A56F-0106-46C6-A265-9C87477863E5}">
      <formula1>$K$9:$K$18</formula1>
    </dataValidation>
    <dataValidation type="list" allowBlank="1" showInputMessage="1" showErrorMessage="1" sqref="B45:B54" xr:uid="{4456B859-94F3-4CD7-A16B-46D648C3FD04}">
      <formula1>$B$35:$B$41</formula1>
    </dataValidation>
  </dataValidation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9A44E-291D-45B9-A690-36ACA0E797E6}">
  <sheetPr codeName="Sheet9"/>
  <dimension ref="A1:Q37"/>
  <sheetViews>
    <sheetView topLeftCell="A4" workbookViewId="0">
      <selection activeCell="B7" sqref="B7"/>
    </sheetView>
  </sheetViews>
  <sheetFormatPr defaultRowHeight="15" x14ac:dyDescent="0.25"/>
  <cols>
    <col min="1" max="1" width="16.85546875" customWidth="1"/>
    <col min="2" max="2" width="5.85546875" style="136" bestFit="1" customWidth="1"/>
    <col min="3" max="3" width="5.5703125" style="136" bestFit="1" customWidth="1"/>
    <col min="4" max="4" width="6.7109375" style="136" bestFit="1" customWidth="1"/>
    <col min="5" max="5" width="5.42578125" bestFit="1" customWidth="1"/>
    <col min="7" max="7" width="5.85546875" bestFit="1" customWidth="1"/>
    <col min="8" max="8" width="5.5703125" bestFit="1" customWidth="1"/>
    <col min="9" max="9" width="6.7109375" bestFit="1" customWidth="1"/>
    <col min="10" max="10" width="5.42578125" bestFit="1" customWidth="1"/>
    <col min="12" max="12" width="11.85546875" bestFit="1" customWidth="1"/>
    <col min="13" max="14" width="13.28515625" customWidth="1"/>
    <col min="15" max="15" width="11.85546875" bestFit="1" customWidth="1"/>
  </cols>
  <sheetData>
    <row r="1" spans="1:17" x14ac:dyDescent="0.25">
      <c r="A1" s="6" t="s">
        <v>184</v>
      </c>
    </row>
    <row r="2" spans="1:17" x14ac:dyDescent="0.25">
      <c r="A2" t="s">
        <v>186</v>
      </c>
    </row>
    <row r="3" spans="1:17" x14ac:dyDescent="0.25">
      <c r="A3" t="s">
        <v>187</v>
      </c>
    </row>
    <row r="5" spans="1:17" x14ac:dyDescent="0.25">
      <c r="A5" s="6"/>
      <c r="B5" s="211" t="s">
        <v>162</v>
      </c>
      <c r="C5" s="211"/>
      <c r="D5" s="211"/>
      <c r="E5" s="211"/>
      <c r="G5" s="211" t="s">
        <v>53</v>
      </c>
      <c r="H5" s="211"/>
      <c r="I5" s="211"/>
      <c r="J5" s="211"/>
      <c r="L5" s="211" t="s">
        <v>179</v>
      </c>
      <c r="M5" s="211"/>
      <c r="N5" s="211"/>
      <c r="O5" s="211"/>
      <c r="Q5" s="6" t="s">
        <v>239</v>
      </c>
    </row>
    <row r="6" spans="1:17" s="91" customFormat="1" x14ac:dyDescent="0.25">
      <c r="B6" s="199" t="s">
        <v>155</v>
      </c>
      <c r="C6" s="200" t="s">
        <v>152</v>
      </c>
      <c r="D6" s="201" t="s">
        <v>224</v>
      </c>
      <c r="E6" s="202" t="s">
        <v>226</v>
      </c>
      <c r="F6" s="106"/>
      <c r="G6" s="199" t="s">
        <v>155</v>
      </c>
      <c r="H6" s="200" t="s">
        <v>152</v>
      </c>
      <c r="I6" s="201" t="s">
        <v>224</v>
      </c>
      <c r="J6" s="202" t="s">
        <v>226</v>
      </c>
      <c r="K6" s="106"/>
      <c r="L6" s="199" t="s">
        <v>155</v>
      </c>
      <c r="M6" s="200" t="s">
        <v>152</v>
      </c>
      <c r="N6" s="201" t="s">
        <v>224</v>
      </c>
      <c r="O6" s="202" t="s">
        <v>226</v>
      </c>
    </row>
    <row r="7" spans="1:17" x14ac:dyDescent="0.25">
      <c r="A7" t="s">
        <v>225</v>
      </c>
      <c r="B7" s="197" t="e">
        <f>#REF!</f>
        <v>#REF!</v>
      </c>
      <c r="C7" s="191" t="e">
        <f>#REF!</f>
        <v>#REF!</v>
      </c>
      <c r="D7" s="188" t="e">
        <f>#REF!</f>
        <v>#REF!</v>
      </c>
      <c r="E7" s="193" t="e">
        <f>SUM(B7:D7)</f>
        <v>#REF!</v>
      </c>
      <c r="G7" s="186" t="e">
        <f>#REF!</f>
        <v>#REF!</v>
      </c>
      <c r="H7" s="187" t="e">
        <f>#REF!</f>
        <v>#REF!</v>
      </c>
      <c r="I7" s="188" t="e">
        <f>#REF!</f>
        <v>#REF!</v>
      </c>
      <c r="J7" s="193" t="e">
        <f>SUM(G7:I7)</f>
        <v>#REF!</v>
      </c>
      <c r="L7" s="189" t="e">
        <f>#REF!</f>
        <v>#REF!</v>
      </c>
      <c r="M7" s="190" t="e">
        <f>#REF!</f>
        <v>#REF!</v>
      </c>
      <c r="N7" s="192" t="e">
        <f>#REF!</f>
        <v>#REF!</v>
      </c>
      <c r="O7" s="194" t="e">
        <f>SUM(L7:N7)</f>
        <v>#REF!</v>
      </c>
    </row>
    <row r="8" spans="1:17" x14ac:dyDescent="0.25">
      <c r="A8" t="s">
        <v>227</v>
      </c>
      <c r="B8" s="197" t="e">
        <f>#REF!</f>
        <v>#REF!</v>
      </c>
      <c r="C8" s="191" t="e">
        <f>#REF!</f>
        <v>#REF!</v>
      </c>
      <c r="D8" s="188" t="e">
        <f>#REF!</f>
        <v>#REF!</v>
      </c>
      <c r="E8" s="193" t="e">
        <f t="shared" ref="E8:E19" si="0">SUM(B8:D8)</f>
        <v>#REF!</v>
      </c>
      <c r="G8" s="186" t="e">
        <f>#REF!</f>
        <v>#REF!</v>
      </c>
      <c r="H8" s="187" t="e">
        <f>#REF!</f>
        <v>#REF!</v>
      </c>
      <c r="I8" s="188" t="e">
        <f>#REF!</f>
        <v>#REF!</v>
      </c>
      <c r="J8" s="193" t="e">
        <f t="shared" ref="J8:J19" si="1">SUM(G8:I8)</f>
        <v>#REF!</v>
      </c>
      <c r="L8" s="189" t="e">
        <f>#REF!</f>
        <v>#REF!</v>
      </c>
      <c r="M8" s="190" t="e">
        <f>#REF!</f>
        <v>#REF!</v>
      </c>
      <c r="N8" s="192" t="e">
        <f>#REF!</f>
        <v>#REF!</v>
      </c>
      <c r="O8" s="194" t="e">
        <f>SUM(L8:N8)</f>
        <v>#REF!</v>
      </c>
    </row>
    <row r="9" spans="1:17" x14ac:dyDescent="0.25">
      <c r="A9" t="s">
        <v>228</v>
      </c>
      <c r="B9" s="197" t="e">
        <f>#REF!</f>
        <v>#REF!</v>
      </c>
      <c r="C9" s="191" t="e">
        <f>#REF!</f>
        <v>#REF!</v>
      </c>
      <c r="D9" s="188" t="e">
        <f>#REF!</f>
        <v>#REF!</v>
      </c>
      <c r="E9" s="193" t="e">
        <f t="shared" si="0"/>
        <v>#REF!</v>
      </c>
      <c r="G9" s="186" t="e">
        <f>#REF!</f>
        <v>#REF!</v>
      </c>
      <c r="H9" s="187" t="e">
        <f>#REF!</f>
        <v>#REF!</v>
      </c>
      <c r="I9" s="188" t="e">
        <f>#REF!</f>
        <v>#REF!</v>
      </c>
      <c r="J9" s="193" t="e">
        <f t="shared" si="1"/>
        <v>#REF!</v>
      </c>
      <c r="L9" s="189" t="e">
        <f>#REF!</f>
        <v>#REF!</v>
      </c>
      <c r="M9" s="190" t="e">
        <f>#REF!</f>
        <v>#REF!</v>
      </c>
      <c r="N9" s="192" t="e">
        <f>#REF!</f>
        <v>#REF!</v>
      </c>
      <c r="O9" s="194" t="e">
        <f t="shared" ref="O9:O19" si="2">SUM(L9:N9)</f>
        <v>#REF!</v>
      </c>
    </row>
    <row r="10" spans="1:17" x14ac:dyDescent="0.25">
      <c r="A10" t="s">
        <v>229</v>
      </c>
      <c r="B10" s="197" t="e">
        <f>#REF!</f>
        <v>#REF!</v>
      </c>
      <c r="C10" s="191" t="e">
        <f>#REF!</f>
        <v>#REF!</v>
      </c>
      <c r="D10" s="188" t="e">
        <f>#REF!</f>
        <v>#REF!</v>
      </c>
      <c r="E10" s="193" t="e">
        <f t="shared" si="0"/>
        <v>#REF!</v>
      </c>
      <c r="G10" s="186" t="e">
        <f>#REF!</f>
        <v>#REF!</v>
      </c>
      <c r="H10" s="187" t="e">
        <f>#REF!</f>
        <v>#REF!</v>
      </c>
      <c r="I10" s="188" t="e">
        <f>#REF!</f>
        <v>#REF!</v>
      </c>
      <c r="J10" s="193" t="e">
        <f t="shared" si="1"/>
        <v>#REF!</v>
      </c>
      <c r="L10" s="189" t="e">
        <f>#REF!</f>
        <v>#REF!</v>
      </c>
      <c r="M10" s="190" t="e">
        <f>#REF!</f>
        <v>#REF!</v>
      </c>
      <c r="N10" s="192" t="e">
        <f>#REF!</f>
        <v>#REF!</v>
      </c>
      <c r="O10" s="194" t="e">
        <f t="shared" si="2"/>
        <v>#REF!</v>
      </c>
    </row>
    <row r="11" spans="1:17" x14ac:dyDescent="0.25">
      <c r="A11" t="s">
        <v>230</v>
      </c>
      <c r="B11" s="197" t="e">
        <f>#REF!</f>
        <v>#REF!</v>
      </c>
      <c r="C11" s="191" t="e">
        <f>#REF!</f>
        <v>#REF!</v>
      </c>
      <c r="D11" s="188" t="e">
        <f>#REF!</f>
        <v>#REF!</v>
      </c>
      <c r="E11" s="193" t="e">
        <f t="shared" si="0"/>
        <v>#REF!</v>
      </c>
      <c r="G11" s="186" t="e">
        <f>#REF!</f>
        <v>#REF!</v>
      </c>
      <c r="H11" s="187" t="e">
        <f>#REF!</f>
        <v>#REF!</v>
      </c>
      <c r="I11" s="188" t="e">
        <f>#REF!</f>
        <v>#REF!</v>
      </c>
      <c r="J11" s="193" t="e">
        <f t="shared" si="1"/>
        <v>#REF!</v>
      </c>
      <c r="L11" s="189" t="e">
        <f>#REF!</f>
        <v>#REF!</v>
      </c>
      <c r="M11" s="190" t="e">
        <f>#REF!</f>
        <v>#REF!</v>
      </c>
      <c r="N11" s="192" t="e">
        <f>#REF!</f>
        <v>#REF!</v>
      </c>
      <c r="O11" s="194" t="e">
        <f t="shared" si="2"/>
        <v>#REF!</v>
      </c>
    </row>
    <row r="12" spans="1:17" x14ac:dyDescent="0.25">
      <c r="A12" t="s">
        <v>231</v>
      </c>
      <c r="B12" s="197" t="e">
        <f>#REF!</f>
        <v>#REF!</v>
      </c>
      <c r="C12" s="191" t="e">
        <f>#REF!</f>
        <v>#REF!</v>
      </c>
      <c r="D12" s="188" t="e">
        <f>#REF!</f>
        <v>#REF!</v>
      </c>
      <c r="E12" s="193" t="e">
        <f t="shared" si="0"/>
        <v>#REF!</v>
      </c>
      <c r="G12" s="186" t="e">
        <f>#REF!</f>
        <v>#REF!</v>
      </c>
      <c r="H12" s="187" t="e">
        <f>#REF!</f>
        <v>#REF!</v>
      </c>
      <c r="I12" s="188" t="e">
        <f>#REF!</f>
        <v>#REF!</v>
      </c>
      <c r="J12" s="193" t="e">
        <f t="shared" si="1"/>
        <v>#REF!</v>
      </c>
      <c r="L12" s="189" t="e">
        <f>#REF!</f>
        <v>#REF!</v>
      </c>
      <c r="M12" s="190" t="e">
        <f>#REF!</f>
        <v>#REF!</v>
      </c>
      <c r="N12" s="192" t="e">
        <f>#REF!</f>
        <v>#REF!</v>
      </c>
      <c r="O12" s="194" t="e">
        <f t="shared" si="2"/>
        <v>#REF!</v>
      </c>
    </row>
    <row r="13" spans="1:17" x14ac:dyDescent="0.25">
      <c r="A13" t="s">
        <v>232</v>
      </c>
      <c r="B13" s="197" t="e">
        <f>#REF!</f>
        <v>#REF!</v>
      </c>
      <c r="C13" s="191" t="e">
        <f>#REF!</f>
        <v>#REF!</v>
      </c>
      <c r="D13" s="188" t="e">
        <f>#REF!</f>
        <v>#REF!</v>
      </c>
      <c r="E13" s="193" t="e">
        <f t="shared" si="0"/>
        <v>#REF!</v>
      </c>
      <c r="G13" s="186" t="e">
        <f>#REF!</f>
        <v>#REF!</v>
      </c>
      <c r="H13" s="187" t="e">
        <f>#REF!</f>
        <v>#REF!</v>
      </c>
      <c r="I13" s="188" t="e">
        <f>#REF!</f>
        <v>#REF!</v>
      </c>
      <c r="J13" s="193" t="e">
        <f t="shared" si="1"/>
        <v>#REF!</v>
      </c>
      <c r="L13" s="189" t="e">
        <f>#REF!</f>
        <v>#REF!</v>
      </c>
      <c r="M13" s="190" t="e">
        <f>#REF!</f>
        <v>#REF!</v>
      </c>
      <c r="N13" s="192" t="e">
        <f>#REF!</f>
        <v>#REF!</v>
      </c>
      <c r="O13" s="194" t="e">
        <f t="shared" si="2"/>
        <v>#REF!</v>
      </c>
    </row>
    <row r="14" spans="1:17" x14ac:dyDescent="0.25">
      <c r="A14" t="s">
        <v>233</v>
      </c>
      <c r="B14" s="197" t="e">
        <f>#REF!</f>
        <v>#REF!</v>
      </c>
      <c r="C14" s="191" t="e">
        <f>#REF!</f>
        <v>#REF!</v>
      </c>
      <c r="D14" s="188" t="e">
        <f>#REF!</f>
        <v>#REF!</v>
      </c>
      <c r="E14" s="193" t="e">
        <f t="shared" si="0"/>
        <v>#REF!</v>
      </c>
      <c r="G14" s="186" t="e">
        <f>#REF!</f>
        <v>#REF!</v>
      </c>
      <c r="H14" s="187" t="e">
        <f>#REF!</f>
        <v>#REF!</v>
      </c>
      <c r="I14" s="188" t="e">
        <f>#REF!</f>
        <v>#REF!</v>
      </c>
      <c r="J14" s="193" t="e">
        <f t="shared" si="1"/>
        <v>#REF!</v>
      </c>
      <c r="L14" s="189" t="e">
        <f>#REF!</f>
        <v>#REF!</v>
      </c>
      <c r="M14" s="190" t="e">
        <f>#REF!</f>
        <v>#REF!</v>
      </c>
      <c r="N14" s="192" t="e">
        <f>#REF!</f>
        <v>#REF!</v>
      </c>
      <c r="O14" s="194" t="e">
        <f t="shared" si="2"/>
        <v>#REF!</v>
      </c>
    </row>
    <row r="15" spans="1:17" x14ac:dyDescent="0.25">
      <c r="A15" t="s">
        <v>234</v>
      </c>
      <c r="B15" s="197" t="e">
        <f>#REF!</f>
        <v>#REF!</v>
      </c>
      <c r="C15" s="191" t="e">
        <f>#REF!</f>
        <v>#REF!</v>
      </c>
      <c r="D15" s="188" t="e">
        <f>#REF!</f>
        <v>#REF!</v>
      </c>
      <c r="E15" s="193" t="e">
        <f t="shared" si="0"/>
        <v>#REF!</v>
      </c>
      <c r="G15" s="186" t="e">
        <f>#REF!</f>
        <v>#REF!</v>
      </c>
      <c r="H15" s="187" t="e">
        <f>#REF!</f>
        <v>#REF!</v>
      </c>
      <c r="I15" s="188" t="e">
        <f>#REF!</f>
        <v>#REF!</v>
      </c>
      <c r="J15" s="193" t="e">
        <f t="shared" si="1"/>
        <v>#REF!</v>
      </c>
      <c r="L15" s="189" t="e">
        <f>#REF!</f>
        <v>#REF!</v>
      </c>
      <c r="M15" s="190" t="e">
        <f>#REF!</f>
        <v>#REF!</v>
      </c>
      <c r="N15" s="192" t="e">
        <f>#REF!</f>
        <v>#REF!</v>
      </c>
      <c r="O15" s="194" t="e">
        <f t="shared" si="2"/>
        <v>#REF!</v>
      </c>
    </row>
    <row r="16" spans="1:17" x14ac:dyDescent="0.25">
      <c r="A16" t="s">
        <v>235</v>
      </c>
      <c r="B16" s="197" t="e">
        <f>#REF!</f>
        <v>#REF!</v>
      </c>
      <c r="C16" s="191" t="e">
        <f>#REF!</f>
        <v>#REF!</v>
      </c>
      <c r="D16" s="188" t="e">
        <f>#REF!</f>
        <v>#REF!</v>
      </c>
      <c r="E16" s="193" t="e">
        <f t="shared" si="0"/>
        <v>#REF!</v>
      </c>
      <c r="G16" s="186" t="e">
        <f>#REF!</f>
        <v>#REF!</v>
      </c>
      <c r="H16" s="187" t="e">
        <f>#REF!</f>
        <v>#REF!</v>
      </c>
      <c r="I16" s="188" t="e">
        <f>#REF!</f>
        <v>#REF!</v>
      </c>
      <c r="J16" s="193" t="e">
        <f t="shared" si="1"/>
        <v>#REF!</v>
      </c>
      <c r="L16" s="189" t="e">
        <f>#REF!</f>
        <v>#REF!</v>
      </c>
      <c r="M16" s="190" t="e">
        <f>#REF!</f>
        <v>#REF!</v>
      </c>
      <c r="N16" s="192" t="e">
        <f>#REF!</f>
        <v>#REF!</v>
      </c>
      <c r="O16" s="194" t="e">
        <f t="shared" si="2"/>
        <v>#REF!</v>
      </c>
    </row>
    <row r="17" spans="1:17" x14ac:dyDescent="0.25">
      <c r="A17" t="s">
        <v>236</v>
      </c>
      <c r="B17" s="197" t="e">
        <f>#REF!</f>
        <v>#REF!</v>
      </c>
      <c r="C17" s="191" t="e">
        <f>#REF!</f>
        <v>#REF!</v>
      </c>
      <c r="D17" s="188" t="e">
        <f>#REF!</f>
        <v>#REF!</v>
      </c>
      <c r="E17" s="193" t="e">
        <f t="shared" si="0"/>
        <v>#REF!</v>
      </c>
      <c r="G17" s="186" t="e">
        <f>#REF!</f>
        <v>#REF!</v>
      </c>
      <c r="H17" s="187" t="e">
        <f>#REF!</f>
        <v>#REF!</v>
      </c>
      <c r="I17" s="188" t="e">
        <f>#REF!</f>
        <v>#REF!</v>
      </c>
      <c r="J17" s="193" t="e">
        <f t="shared" si="1"/>
        <v>#REF!</v>
      </c>
      <c r="L17" s="189" t="e">
        <f>#REF!</f>
        <v>#REF!</v>
      </c>
      <c r="M17" s="190" t="e">
        <f>#REF!</f>
        <v>#REF!</v>
      </c>
      <c r="N17" s="192" t="e">
        <f>#REF!</f>
        <v>#REF!</v>
      </c>
      <c r="O17" s="194" t="e">
        <f t="shared" si="2"/>
        <v>#REF!</v>
      </c>
    </row>
    <row r="18" spans="1:17" x14ac:dyDescent="0.25">
      <c r="A18" t="s">
        <v>237</v>
      </c>
      <c r="B18" s="197" t="e">
        <f>#REF!</f>
        <v>#REF!</v>
      </c>
      <c r="C18" s="191" t="e">
        <f>#REF!</f>
        <v>#REF!</v>
      </c>
      <c r="D18" s="188" t="e">
        <f>#REF!</f>
        <v>#REF!</v>
      </c>
      <c r="E18" s="193" t="e">
        <f t="shared" si="0"/>
        <v>#REF!</v>
      </c>
      <c r="G18" s="186" t="e">
        <f>#REF!</f>
        <v>#REF!</v>
      </c>
      <c r="H18" s="187" t="e">
        <f>#REF!</f>
        <v>#REF!</v>
      </c>
      <c r="I18" s="188" t="e">
        <f>#REF!</f>
        <v>#REF!</v>
      </c>
      <c r="J18" s="193" t="e">
        <f t="shared" si="1"/>
        <v>#REF!</v>
      </c>
      <c r="L18" s="189" t="e">
        <f>#REF!</f>
        <v>#REF!</v>
      </c>
      <c r="M18" s="190" t="e">
        <f>#REF!</f>
        <v>#REF!</v>
      </c>
      <c r="N18" s="192" t="e">
        <f>#REF!</f>
        <v>#REF!</v>
      </c>
      <c r="O18" s="194" t="e">
        <f t="shared" si="2"/>
        <v>#REF!</v>
      </c>
    </row>
    <row r="19" spans="1:17" x14ac:dyDescent="0.25">
      <c r="A19" t="s">
        <v>238</v>
      </c>
      <c r="B19" s="197" t="e">
        <f>#REF!</f>
        <v>#REF!</v>
      </c>
      <c r="C19" s="191" t="e">
        <f>#REF!</f>
        <v>#REF!</v>
      </c>
      <c r="D19" s="188" t="e">
        <f>#REF!</f>
        <v>#REF!</v>
      </c>
      <c r="E19" s="193" t="e">
        <f t="shared" si="0"/>
        <v>#REF!</v>
      </c>
      <c r="G19" s="186" t="e">
        <f>#REF!</f>
        <v>#REF!</v>
      </c>
      <c r="H19" s="187" t="e">
        <f>#REF!</f>
        <v>#REF!</v>
      </c>
      <c r="I19" s="188" t="e">
        <f>#REF!</f>
        <v>#REF!</v>
      </c>
      <c r="J19" s="193" t="e">
        <f t="shared" si="1"/>
        <v>#REF!</v>
      </c>
      <c r="L19" s="189" t="e">
        <f>#REF!</f>
        <v>#REF!</v>
      </c>
      <c r="M19" s="190" t="e">
        <f>#REF!</f>
        <v>#REF!</v>
      </c>
      <c r="N19" s="192" t="e">
        <f>#REF!</f>
        <v>#REF!</v>
      </c>
      <c r="O19" s="194" t="e">
        <f t="shared" si="2"/>
        <v>#REF!</v>
      </c>
    </row>
    <row r="20" spans="1:17" x14ac:dyDescent="0.25">
      <c r="A20" s="6" t="s">
        <v>185</v>
      </c>
      <c r="B20" s="10" t="e">
        <f>SUM(B7:B19)</f>
        <v>#REF!</v>
      </c>
      <c r="C20" s="10" t="e">
        <f t="shared" ref="C20:O20" si="3">SUM(C7:C19)</f>
        <v>#REF!</v>
      </c>
      <c r="D20" s="10" t="e">
        <f t="shared" si="3"/>
        <v>#REF!</v>
      </c>
      <c r="E20" s="10" t="e">
        <f t="shared" si="3"/>
        <v>#REF!</v>
      </c>
      <c r="F20" s="10"/>
      <c r="G20" s="10" t="e">
        <f t="shared" si="3"/>
        <v>#REF!</v>
      </c>
      <c r="H20" s="10" t="e">
        <f t="shared" si="3"/>
        <v>#REF!</v>
      </c>
      <c r="I20" s="10" t="e">
        <f t="shared" si="3"/>
        <v>#REF!</v>
      </c>
      <c r="J20" s="10" t="e">
        <f t="shared" si="3"/>
        <v>#REF!</v>
      </c>
      <c r="K20" s="10"/>
      <c r="L20" s="195" t="e">
        <f t="shared" si="3"/>
        <v>#REF!</v>
      </c>
      <c r="M20" s="195" t="e">
        <f t="shared" si="3"/>
        <v>#REF!</v>
      </c>
      <c r="N20" s="195" t="e">
        <f t="shared" si="3"/>
        <v>#REF!</v>
      </c>
      <c r="O20" s="195" t="e">
        <f t="shared" si="3"/>
        <v>#REF!</v>
      </c>
      <c r="P20" s="195"/>
      <c r="Q20" s="198">
        <f t="shared" ref="Q20" si="4">SUM(Q7:Q19)</f>
        <v>0</v>
      </c>
    </row>
    <row r="37" spans="2:4" x14ac:dyDescent="0.25">
      <c r="B37" s="185"/>
      <c r="C37" s="185"/>
      <c r="D37" s="185"/>
    </row>
  </sheetData>
  <mergeCells count="3">
    <mergeCell ref="G5:J5"/>
    <mergeCell ref="L5:O5"/>
    <mergeCell ref="B5:E5"/>
  </mergeCells>
  <phoneticPr fontId="18"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2ED1-123F-412A-8A69-36BC9E1ACA56}">
  <sheetPr codeName="Sheet10"/>
  <dimension ref="A1:J20"/>
  <sheetViews>
    <sheetView workbookViewId="0">
      <selection activeCell="L12" sqref="L12"/>
    </sheetView>
  </sheetViews>
  <sheetFormatPr defaultRowHeight="15" x14ac:dyDescent="0.25"/>
  <cols>
    <col min="2" max="5" width="9" style="136"/>
  </cols>
  <sheetData>
    <row r="1" spans="1:10" x14ac:dyDescent="0.25">
      <c r="A1" s="137" t="s">
        <v>177</v>
      </c>
    </row>
    <row r="2" spans="1:10" ht="15.75" thickBot="1" x14ac:dyDescent="0.3"/>
    <row r="3" spans="1:10" ht="15.75" thickBot="1" x14ac:dyDescent="0.3">
      <c r="A3" s="138" t="s">
        <v>188</v>
      </c>
      <c r="B3" s="212" t="s">
        <v>76</v>
      </c>
      <c r="C3" s="212"/>
      <c r="D3" s="212"/>
      <c r="E3" s="213" t="s">
        <v>77</v>
      </c>
      <c r="F3" s="213"/>
      <c r="G3" s="213"/>
      <c r="H3" s="214" t="s">
        <v>78</v>
      </c>
      <c r="I3" s="214"/>
      <c r="J3" s="215"/>
    </row>
    <row r="4" spans="1:10" ht="15.75" thickBot="1" x14ac:dyDescent="0.3">
      <c r="A4" s="149"/>
      <c r="B4" s="154" t="s">
        <v>162</v>
      </c>
      <c r="C4" s="155" t="s">
        <v>53</v>
      </c>
      <c r="D4" s="155" t="s">
        <v>183</v>
      </c>
      <c r="E4" s="155" t="s">
        <v>162</v>
      </c>
      <c r="F4" s="155" t="s">
        <v>53</v>
      </c>
      <c r="G4" s="155" t="s">
        <v>179</v>
      </c>
      <c r="H4" s="155" t="s">
        <v>162</v>
      </c>
      <c r="I4" s="155" t="s">
        <v>53</v>
      </c>
      <c r="J4" s="156" t="s">
        <v>179</v>
      </c>
    </row>
    <row r="5" spans="1:10" x14ac:dyDescent="0.25">
      <c r="A5" s="139"/>
      <c r="B5" s="150"/>
      <c r="C5" s="150"/>
      <c r="D5" s="170"/>
      <c r="E5" s="151"/>
      <c r="F5" s="151"/>
      <c r="G5" s="175"/>
      <c r="H5" s="152"/>
      <c r="I5" s="152"/>
      <c r="J5" s="153"/>
    </row>
    <row r="6" spans="1:10" x14ac:dyDescent="0.25">
      <c r="A6" s="139"/>
      <c r="B6" s="141"/>
      <c r="C6" s="141"/>
      <c r="D6" s="171"/>
      <c r="E6" s="143"/>
      <c r="F6" s="143"/>
      <c r="G6" s="176"/>
      <c r="H6" s="145"/>
      <c r="I6" s="145"/>
      <c r="J6" s="146"/>
    </row>
    <row r="7" spans="1:10" x14ac:dyDescent="0.25">
      <c r="A7" s="139"/>
      <c r="B7" s="141"/>
      <c r="C7" s="141"/>
      <c r="D7" s="171"/>
      <c r="E7" s="143"/>
      <c r="F7" s="143"/>
      <c r="G7" s="176"/>
      <c r="H7" s="145"/>
      <c r="I7" s="145"/>
      <c r="J7" s="146"/>
    </row>
    <row r="8" spans="1:10" x14ac:dyDescent="0.25">
      <c r="A8" s="139"/>
      <c r="B8" s="141"/>
      <c r="C8" s="141"/>
      <c r="D8" s="171"/>
      <c r="E8" s="143"/>
      <c r="F8" s="143"/>
      <c r="G8" s="176"/>
      <c r="H8" s="145"/>
      <c r="I8" s="145"/>
      <c r="J8" s="146"/>
    </row>
    <row r="9" spans="1:10" x14ac:dyDescent="0.25">
      <c r="A9" s="139"/>
      <c r="B9" s="141"/>
      <c r="C9" s="141"/>
      <c r="D9" s="171"/>
      <c r="E9" s="143"/>
      <c r="F9" s="143"/>
      <c r="G9" s="176"/>
      <c r="H9" s="145"/>
      <c r="I9" s="145"/>
      <c r="J9" s="146"/>
    </row>
    <row r="10" spans="1:10" x14ac:dyDescent="0.25">
      <c r="A10" s="139"/>
      <c r="B10" s="141"/>
      <c r="C10" s="141"/>
      <c r="D10" s="171"/>
      <c r="E10" s="143"/>
      <c r="F10" s="143"/>
      <c r="G10" s="176"/>
      <c r="H10" s="145"/>
      <c r="I10" s="145"/>
      <c r="J10" s="146"/>
    </row>
    <row r="11" spans="1:10" x14ac:dyDescent="0.25">
      <c r="A11" s="139"/>
      <c r="B11" s="141"/>
      <c r="C11" s="141"/>
      <c r="D11" s="171"/>
      <c r="E11" s="143"/>
      <c r="F11" s="143"/>
      <c r="G11" s="176"/>
      <c r="H11" s="145"/>
      <c r="I11" s="145"/>
      <c r="J11" s="146"/>
    </row>
    <row r="12" spans="1:10" x14ac:dyDescent="0.25">
      <c r="A12" s="139"/>
      <c r="B12" s="141"/>
      <c r="C12" s="141"/>
      <c r="D12" s="171"/>
      <c r="E12" s="143"/>
      <c r="F12" s="143"/>
      <c r="G12" s="176"/>
      <c r="H12" s="145"/>
      <c r="I12" s="145"/>
      <c r="J12" s="146"/>
    </row>
    <row r="13" spans="1:10" x14ac:dyDescent="0.25">
      <c r="A13" s="139"/>
      <c r="B13" s="141"/>
      <c r="C13" s="141"/>
      <c r="D13" s="171"/>
      <c r="E13" s="143"/>
      <c r="F13" s="143"/>
      <c r="G13" s="176"/>
      <c r="H13" s="145"/>
      <c r="I13" s="145"/>
      <c r="J13" s="146"/>
    </row>
    <row r="14" spans="1:10" ht="15.75" thickBot="1" x14ac:dyDescent="0.3">
      <c r="A14" s="140"/>
      <c r="B14" s="142"/>
      <c r="C14" s="142"/>
      <c r="D14" s="172"/>
      <c r="E14" s="144"/>
      <c r="F14" s="144"/>
      <c r="G14" s="177"/>
      <c r="H14" s="147"/>
      <c r="I14" s="147"/>
      <c r="J14" s="148"/>
    </row>
    <row r="15" spans="1:10" x14ac:dyDescent="0.25">
      <c r="A15" s="157" t="s">
        <v>178</v>
      </c>
      <c r="B15" s="168"/>
      <c r="C15" s="158"/>
      <c r="D15" s="173"/>
      <c r="E15" s="159"/>
      <c r="F15" s="160"/>
      <c r="G15" s="178"/>
      <c r="H15" s="161"/>
      <c r="I15" s="161"/>
      <c r="J15" s="162"/>
    </row>
    <row r="16" spans="1:10" ht="15.75" thickBot="1" x14ac:dyDescent="0.3">
      <c r="A16" s="163" t="s">
        <v>182</v>
      </c>
      <c r="B16" s="169">
        <f>SUM(B5:B14)</f>
        <v>0</v>
      </c>
      <c r="C16" s="164">
        <f>SUM(C5:C14)</f>
        <v>0</v>
      </c>
      <c r="D16" s="174"/>
      <c r="E16" s="165">
        <f>SUM(E5:E14)</f>
        <v>0</v>
      </c>
      <c r="F16" s="165">
        <f>SUM(F5:F14)</f>
        <v>0</v>
      </c>
      <c r="G16" s="179"/>
      <c r="H16" s="166">
        <f>SUM(H5:H14)</f>
        <v>0</v>
      </c>
      <c r="I16" s="166">
        <f>SUM(I5:I14)</f>
        <v>0</v>
      </c>
      <c r="J16" s="167"/>
    </row>
    <row r="19" spans="1:1" x14ac:dyDescent="0.25">
      <c r="A19" t="s">
        <v>180</v>
      </c>
    </row>
    <row r="20" spans="1:1" x14ac:dyDescent="0.25">
      <c r="A20" t="s">
        <v>181</v>
      </c>
    </row>
  </sheetData>
  <mergeCells count="3">
    <mergeCell ref="B3:D3"/>
    <mergeCell ref="E3:G3"/>
    <mergeCell ref="H3:J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D1B2-4278-4AAD-A9AE-FD1BEA5BCAAA}">
  <sheetPr codeName="Sheet11"/>
  <dimension ref="A3:Y64"/>
  <sheetViews>
    <sheetView zoomScale="60" zoomScaleNormal="60" workbookViewId="0">
      <pane xSplit="5" ySplit="7" topLeftCell="F8" activePane="bottomRight" state="frozen"/>
      <selection pane="topRight" activeCell="F1" sqref="F1"/>
      <selection pane="bottomLeft" activeCell="A8" sqref="A8"/>
      <selection pane="bottomRight" activeCell="H5" sqref="H5:I5"/>
    </sheetView>
  </sheetViews>
  <sheetFormatPr defaultColWidth="9.140625" defaultRowHeight="15" x14ac:dyDescent="0.25"/>
  <cols>
    <col min="2" max="2" width="49.7109375" customWidth="1"/>
    <col min="6" max="25" width="12.7109375" customWidth="1"/>
  </cols>
  <sheetData>
    <row r="3" spans="1:25" x14ac:dyDescent="0.25">
      <c r="B3" t="s">
        <v>140</v>
      </c>
    </row>
    <row r="4" spans="1:25" x14ac:dyDescent="0.25">
      <c r="B4" t="str">
        <f>ProjectDetails!B9</f>
        <v>IRT Round Valley/Operation Walking Shield</v>
      </c>
      <c r="E4" s="103"/>
      <c r="F4" s="104"/>
      <c r="G4" s="104"/>
    </row>
    <row r="5" spans="1:25" x14ac:dyDescent="0.25">
      <c r="A5" s="103" t="s">
        <v>144</v>
      </c>
      <c r="B5" s="120" t="e">
        <f>#REF!</f>
        <v>#REF!</v>
      </c>
      <c r="C5" s="91"/>
      <c r="D5" s="91"/>
      <c r="E5" s="105" t="s">
        <v>67</v>
      </c>
      <c r="F5" s="216" t="str">
        <f>ProjectDetails!$C45</f>
        <v>LCDR Willes</v>
      </c>
      <c r="G5" s="216"/>
      <c r="H5" s="218" t="str">
        <f>ProjectDetails!$C46</f>
        <v>LCDR Warner</v>
      </c>
      <c r="I5" s="219"/>
      <c r="J5" s="218" t="str">
        <f>ProjectDetails!$C47</f>
        <v>CAPT Meymand</v>
      </c>
      <c r="K5" s="219"/>
      <c r="L5" s="216" t="str">
        <f>ProjectDetails!$C48</f>
        <v>CDR Thai</v>
      </c>
      <c r="M5" s="216"/>
      <c r="N5" s="216" t="str">
        <f>ProjectDetails!$C49</f>
        <v>CDR Buzzell</v>
      </c>
      <c r="O5" s="216"/>
      <c r="P5" s="216" t="str">
        <f>ProjectDetails!$C50</f>
        <v>LTC Morgan</v>
      </c>
      <c r="Q5" s="216"/>
      <c r="R5" s="216" t="str">
        <f>ProjectDetails!$C51</f>
        <v>MAJ Caldon</v>
      </c>
      <c r="S5" s="216"/>
      <c r="T5" s="216">
        <f>ProjectDetails!$C52</f>
        <v>0</v>
      </c>
      <c r="U5" s="216"/>
      <c r="V5" s="216">
        <f>ProjectDetails!$C53</f>
        <v>0</v>
      </c>
      <c r="W5" s="216"/>
      <c r="X5" s="216">
        <f>ProjectDetails!$C54</f>
        <v>0</v>
      </c>
      <c r="Y5" s="216"/>
    </row>
    <row r="6" spans="1:25" x14ac:dyDescent="0.25">
      <c r="C6" s="91"/>
      <c r="D6" s="91"/>
      <c r="E6" s="105" t="s">
        <v>66</v>
      </c>
      <c r="F6" s="217" t="str">
        <f>ProjectDetails!$B45</f>
        <v>USNR</v>
      </c>
      <c r="G6" s="217"/>
      <c r="H6" s="217" t="str">
        <f>ProjectDetails!$B46</f>
        <v>USNR</v>
      </c>
      <c r="I6" s="217"/>
      <c r="J6" s="217" t="str">
        <f>ProjectDetails!$B47</f>
        <v>USNR</v>
      </c>
      <c r="K6" s="217"/>
      <c r="L6" s="217" t="str">
        <f>ProjectDetails!$B48</f>
        <v>USNR</v>
      </c>
      <c r="M6" s="217"/>
      <c r="N6" s="217" t="str">
        <f>ProjectDetails!$B49</f>
        <v>USNR</v>
      </c>
      <c r="O6" s="217"/>
      <c r="P6" s="217" t="str">
        <f>ProjectDetails!$B50</f>
        <v>USARC</v>
      </c>
      <c r="Q6" s="217"/>
      <c r="R6" s="217" t="str">
        <f>ProjectDetails!$B51</f>
        <v>ANG</v>
      </c>
      <c r="S6" s="217"/>
      <c r="T6" s="217">
        <f>ProjectDetails!$B52</f>
        <v>0</v>
      </c>
      <c r="U6" s="217"/>
      <c r="V6" s="217">
        <f>ProjectDetails!$B53</f>
        <v>0</v>
      </c>
      <c r="W6" s="217"/>
      <c r="X6" s="217">
        <f>ProjectDetails!$B54</f>
        <v>0</v>
      </c>
      <c r="Y6" s="217"/>
    </row>
    <row r="7" spans="1:25" x14ac:dyDescent="0.25">
      <c r="B7" s="6" t="s">
        <v>51</v>
      </c>
      <c r="C7" s="106" t="s">
        <v>52</v>
      </c>
      <c r="D7" s="106" t="s">
        <v>49</v>
      </c>
      <c r="E7" s="106" t="s">
        <v>50</v>
      </c>
      <c r="F7" s="68" t="s">
        <v>53</v>
      </c>
      <c r="G7" s="68" t="s">
        <v>50</v>
      </c>
      <c r="H7" s="68" t="s">
        <v>53</v>
      </c>
      <c r="I7" s="68" t="s">
        <v>50</v>
      </c>
      <c r="J7" s="68" t="s">
        <v>53</v>
      </c>
      <c r="K7" s="68" t="s">
        <v>50</v>
      </c>
      <c r="L7" s="68" t="s">
        <v>53</v>
      </c>
      <c r="M7" s="68" t="s">
        <v>50</v>
      </c>
      <c r="N7" s="68" t="s">
        <v>53</v>
      </c>
      <c r="O7" s="68" t="s">
        <v>50</v>
      </c>
      <c r="P7" s="68" t="s">
        <v>53</v>
      </c>
      <c r="Q7" s="68" t="s">
        <v>50</v>
      </c>
      <c r="R7" s="68" t="s">
        <v>53</v>
      </c>
      <c r="S7" s="68" t="s">
        <v>50</v>
      </c>
      <c r="T7" s="68" t="s">
        <v>53</v>
      </c>
      <c r="U7" s="68" t="s">
        <v>50</v>
      </c>
      <c r="V7" s="68" t="s">
        <v>53</v>
      </c>
      <c r="W7" s="68" t="s">
        <v>50</v>
      </c>
      <c r="X7" s="68" t="s">
        <v>53</v>
      </c>
      <c r="Y7" s="68" t="s">
        <v>50</v>
      </c>
    </row>
    <row r="8" spans="1:25" x14ac:dyDescent="0.25">
      <c r="B8" s="107" t="s">
        <v>54</v>
      </c>
      <c r="C8" s="108" t="s">
        <v>55</v>
      </c>
      <c r="D8" s="109">
        <v>0</v>
      </c>
      <c r="E8" s="110">
        <v>0</v>
      </c>
      <c r="F8" s="111" t="e">
        <f>SUM(#REF!)</f>
        <v>#REF!</v>
      </c>
      <c r="G8" s="112"/>
      <c r="H8" s="111" t="e">
        <f>SUM(#REF!)</f>
        <v>#REF!</v>
      </c>
      <c r="I8" s="112"/>
      <c r="J8" s="111" t="e">
        <f>SUM(#REF!)</f>
        <v>#REF!</v>
      </c>
      <c r="K8" s="112"/>
      <c r="L8" s="111" t="e">
        <f>SUM(#REF!)</f>
        <v>#REF!</v>
      </c>
      <c r="M8" s="112"/>
      <c r="N8" s="111" t="e">
        <f>SUM(#REF!)</f>
        <v>#REF!</v>
      </c>
      <c r="O8" s="112"/>
      <c r="P8" s="111" t="e">
        <f>SUM(#REF!)</f>
        <v>#REF!</v>
      </c>
      <c r="Q8" s="112"/>
      <c r="R8" s="111" t="e">
        <f>SUM(#REF!)</f>
        <v>#REF!</v>
      </c>
      <c r="S8" s="112"/>
      <c r="T8" s="111" t="e">
        <f>SUM(#REF!)</f>
        <v>#REF!</v>
      </c>
      <c r="U8" s="112"/>
      <c r="V8" s="111" t="e">
        <f>SUM(#REF!)</f>
        <v>#REF!</v>
      </c>
      <c r="W8" s="112"/>
      <c r="X8" s="111" t="e">
        <f>SUM(#REF!)</f>
        <v>#REF!</v>
      </c>
      <c r="Y8" s="112"/>
    </row>
    <row r="9" spans="1:25" x14ac:dyDescent="0.25">
      <c r="B9" s="100" t="str">
        <f>SourceValues!A7</f>
        <v>Limited oral evaluation – problem focused</v>
      </c>
      <c r="C9" s="101" t="str">
        <f>SourceValues!B7</f>
        <v>D0140</v>
      </c>
      <c r="D9" s="102">
        <f>SourceValues!C7</f>
        <v>0.93</v>
      </c>
      <c r="E9" s="4">
        <f>SourceValues!E7</f>
        <v>107.61</v>
      </c>
      <c r="F9" s="5" t="e">
        <f>SUM(#REF!)</f>
        <v>#REF!</v>
      </c>
      <c r="G9" s="113" t="e">
        <f>$E9*F9</f>
        <v>#REF!</v>
      </c>
      <c r="H9" s="5" t="e">
        <f>SUM(#REF!)</f>
        <v>#REF!</v>
      </c>
      <c r="I9" s="113" t="e">
        <f>$E9*H9</f>
        <v>#REF!</v>
      </c>
      <c r="J9" s="5" t="e">
        <f>SUM(#REF!)</f>
        <v>#REF!</v>
      </c>
      <c r="K9" s="113" t="e">
        <f>$E9*J9</f>
        <v>#REF!</v>
      </c>
      <c r="L9" s="5" t="e">
        <f>SUM(#REF!)</f>
        <v>#REF!</v>
      </c>
      <c r="M9" s="113" t="e">
        <f>$E9*L9</f>
        <v>#REF!</v>
      </c>
      <c r="N9" s="5" t="e">
        <f>SUM(#REF!)</f>
        <v>#REF!</v>
      </c>
      <c r="O9" s="113" t="e">
        <f>$E9*N9</f>
        <v>#REF!</v>
      </c>
      <c r="P9" s="111" t="e">
        <f>SUM(#REF!)</f>
        <v>#REF!</v>
      </c>
      <c r="Q9" s="113" t="e">
        <f>$E9*P9</f>
        <v>#REF!</v>
      </c>
      <c r="R9" s="111" t="e">
        <f>SUM(#REF!)</f>
        <v>#REF!</v>
      </c>
      <c r="S9" s="113" t="e">
        <f>$E9*R9</f>
        <v>#REF!</v>
      </c>
      <c r="T9" s="5" t="e">
        <f>SUM(#REF!)</f>
        <v>#REF!</v>
      </c>
      <c r="U9" s="113" t="e">
        <f>$E9*T9</f>
        <v>#REF!</v>
      </c>
      <c r="V9" s="5" t="e">
        <f>SUM(#REF!)</f>
        <v>#REF!</v>
      </c>
      <c r="W9" s="113" t="e">
        <f>$E9*V9</f>
        <v>#REF!</v>
      </c>
      <c r="X9" s="5" t="e">
        <f>SUM(#REF!)</f>
        <v>#REF!</v>
      </c>
      <c r="Y9" s="113" t="e">
        <f>$E9*X9</f>
        <v>#REF!</v>
      </c>
    </row>
    <row r="10" spans="1:25" x14ac:dyDescent="0.25">
      <c r="B10" s="100" t="str">
        <f>SourceValues!A9</f>
        <v>Comprehensive oral evaluation – new or established patient</v>
      </c>
      <c r="C10" s="101" t="str">
        <f>SourceValues!B9</f>
        <v>D0150</v>
      </c>
      <c r="D10" s="102">
        <f>SourceValues!C9</f>
        <v>1.05</v>
      </c>
      <c r="E10" s="4">
        <f>SourceValues!E9</f>
        <v>121.5</v>
      </c>
      <c r="F10" s="5" t="e">
        <f>SUM(#REF!)</f>
        <v>#REF!</v>
      </c>
      <c r="G10" s="113" t="e">
        <f t="shared" ref="G10:G63" si="0">$E10*F10</f>
        <v>#REF!</v>
      </c>
      <c r="H10" s="5" t="e">
        <f>SUM(#REF!)</f>
        <v>#REF!</v>
      </c>
      <c r="I10" s="113" t="e">
        <f t="shared" ref="I10:I63" si="1">$E10*H10</f>
        <v>#REF!</v>
      </c>
      <c r="J10" s="5" t="e">
        <f>SUM(#REF!)</f>
        <v>#REF!</v>
      </c>
      <c r="K10" s="113" t="e">
        <f t="shared" ref="K10:K63" si="2">$E10*J10</f>
        <v>#REF!</v>
      </c>
      <c r="L10" s="5" t="e">
        <f>SUM(#REF!)</f>
        <v>#REF!</v>
      </c>
      <c r="M10" s="113" t="e">
        <f t="shared" ref="M10:M63" si="3">$E10*L10</f>
        <v>#REF!</v>
      </c>
      <c r="N10" s="5" t="e">
        <f>SUM(#REF!)</f>
        <v>#REF!</v>
      </c>
      <c r="O10" s="113" t="e">
        <f t="shared" ref="O10:O63" si="4">$E10*N10</f>
        <v>#REF!</v>
      </c>
      <c r="P10" s="111" t="e">
        <f>SUM(#REF!)</f>
        <v>#REF!</v>
      </c>
      <c r="Q10" s="113" t="e">
        <f t="shared" ref="Q10:Q63" si="5">$E10*P10</f>
        <v>#REF!</v>
      </c>
      <c r="R10" s="111" t="e">
        <f>SUM(#REF!)</f>
        <v>#REF!</v>
      </c>
      <c r="S10" s="113" t="e">
        <f t="shared" ref="S10:S63" si="6">$E10*R10</f>
        <v>#REF!</v>
      </c>
      <c r="T10" s="5" t="e">
        <f>SUM(#REF!)</f>
        <v>#REF!</v>
      </c>
      <c r="U10" s="113" t="e">
        <f t="shared" ref="U10:U63" si="7">$E10*T10</f>
        <v>#REF!</v>
      </c>
      <c r="V10" s="5" t="e">
        <f>SUM(#REF!)</f>
        <v>#REF!</v>
      </c>
      <c r="W10" s="113" t="e">
        <f t="shared" ref="W10:W63" si="8">$E10*V10</f>
        <v>#REF!</v>
      </c>
      <c r="X10" s="5" t="e">
        <f>SUM(#REF!)</f>
        <v>#REF!</v>
      </c>
      <c r="Y10" s="113" t="e">
        <f t="shared" ref="Y10:Y63" si="9">$E10*X10</f>
        <v>#REF!</v>
      </c>
    </row>
    <row r="11" spans="1:25" x14ac:dyDescent="0.25">
      <c r="B11" s="100" t="str">
        <f>SourceValues!A10</f>
        <v>Detailed and extensive oral evaluation – problem focused, by report</v>
      </c>
      <c r="C11" s="101" t="str">
        <f>SourceValues!B10</f>
        <v>D0160</v>
      </c>
      <c r="D11" s="102">
        <f>SourceValues!C10</f>
        <v>1.58</v>
      </c>
      <c r="E11" s="4">
        <f>SourceValues!E10</f>
        <v>182.82</v>
      </c>
      <c r="F11" s="5" t="e">
        <f>SUM(#REF!)</f>
        <v>#REF!</v>
      </c>
      <c r="G11" s="113" t="e">
        <f t="shared" si="0"/>
        <v>#REF!</v>
      </c>
      <c r="H11" s="5" t="e">
        <f>SUM(#REF!)</f>
        <v>#REF!</v>
      </c>
      <c r="I11" s="113" t="e">
        <f t="shared" si="1"/>
        <v>#REF!</v>
      </c>
      <c r="J11" s="5" t="e">
        <f>SUM(#REF!)</f>
        <v>#REF!</v>
      </c>
      <c r="K11" s="113" t="e">
        <f t="shared" si="2"/>
        <v>#REF!</v>
      </c>
      <c r="L11" s="5" t="e">
        <f>SUM(#REF!)</f>
        <v>#REF!</v>
      </c>
      <c r="M11" s="113" t="e">
        <f t="shared" si="3"/>
        <v>#REF!</v>
      </c>
      <c r="N11" s="5" t="e">
        <f>SUM(#REF!)</f>
        <v>#REF!</v>
      </c>
      <c r="O11" s="113" t="e">
        <f t="shared" si="4"/>
        <v>#REF!</v>
      </c>
      <c r="P11" s="111" t="e">
        <f>SUM(#REF!)</f>
        <v>#REF!</v>
      </c>
      <c r="Q11" s="113" t="e">
        <f t="shared" si="5"/>
        <v>#REF!</v>
      </c>
      <c r="R11" s="111" t="e">
        <f>SUM(#REF!)</f>
        <v>#REF!</v>
      </c>
      <c r="S11" s="113" t="e">
        <f t="shared" si="6"/>
        <v>#REF!</v>
      </c>
      <c r="T11" s="5" t="e">
        <f>SUM(#REF!)</f>
        <v>#REF!</v>
      </c>
      <c r="U11" s="113" t="e">
        <f t="shared" si="7"/>
        <v>#REF!</v>
      </c>
      <c r="V11" s="5" t="e">
        <f>SUM(#REF!)</f>
        <v>#REF!</v>
      </c>
      <c r="W11" s="113" t="e">
        <f t="shared" si="8"/>
        <v>#REF!</v>
      </c>
      <c r="X11" s="5" t="e">
        <f>SUM(#REF!)</f>
        <v>#REF!</v>
      </c>
      <c r="Y11" s="113" t="e">
        <f t="shared" si="9"/>
        <v>#REF!</v>
      </c>
    </row>
    <row r="12" spans="1:25" x14ac:dyDescent="0.25">
      <c r="B12" s="100" t="e">
        <f>SourceValues!#REF!</f>
        <v>#REF!</v>
      </c>
      <c r="C12" s="101" t="e">
        <f>SourceValues!#REF!</f>
        <v>#REF!</v>
      </c>
      <c r="D12" s="102" t="e">
        <f>SourceValues!#REF!</f>
        <v>#REF!</v>
      </c>
      <c r="E12" s="4" t="e">
        <f>SourceValues!#REF!</f>
        <v>#REF!</v>
      </c>
      <c r="F12" s="5" t="e">
        <f>SUM(#REF!)</f>
        <v>#REF!</v>
      </c>
      <c r="G12" s="113" t="e">
        <f t="shared" si="0"/>
        <v>#REF!</v>
      </c>
      <c r="H12" s="5" t="e">
        <f>SUM(#REF!)</f>
        <v>#REF!</v>
      </c>
      <c r="I12" s="113" t="e">
        <f t="shared" si="1"/>
        <v>#REF!</v>
      </c>
      <c r="J12" s="5" t="e">
        <f>SUM(#REF!)</f>
        <v>#REF!</v>
      </c>
      <c r="K12" s="113" t="e">
        <f t="shared" si="2"/>
        <v>#REF!</v>
      </c>
      <c r="L12" s="5" t="e">
        <f>SUM(#REF!)</f>
        <v>#REF!</v>
      </c>
      <c r="M12" s="113" t="e">
        <f t="shared" si="3"/>
        <v>#REF!</v>
      </c>
      <c r="N12" s="5" t="e">
        <f>SUM(#REF!)</f>
        <v>#REF!</v>
      </c>
      <c r="O12" s="113" t="e">
        <f t="shared" si="4"/>
        <v>#REF!</v>
      </c>
      <c r="P12" s="111" t="e">
        <f>SUM(#REF!)</f>
        <v>#REF!</v>
      </c>
      <c r="Q12" s="113" t="e">
        <f t="shared" si="5"/>
        <v>#REF!</v>
      </c>
      <c r="R12" s="111" t="e">
        <f>SUM(#REF!)</f>
        <v>#REF!</v>
      </c>
      <c r="S12" s="113" t="e">
        <f t="shared" si="6"/>
        <v>#REF!</v>
      </c>
      <c r="T12" s="5" t="e">
        <f>SUM(#REF!)</f>
        <v>#REF!</v>
      </c>
      <c r="U12" s="113" t="e">
        <f t="shared" si="7"/>
        <v>#REF!</v>
      </c>
      <c r="V12" s="5" t="e">
        <f>SUM(#REF!)</f>
        <v>#REF!</v>
      </c>
      <c r="W12" s="113" t="e">
        <f t="shared" si="8"/>
        <v>#REF!</v>
      </c>
      <c r="X12" s="5" t="e">
        <f>SUM(#REF!)</f>
        <v>#REF!</v>
      </c>
      <c r="Y12" s="113" t="e">
        <f t="shared" si="9"/>
        <v>#REF!</v>
      </c>
    </row>
    <row r="13" spans="1:25" x14ac:dyDescent="0.25">
      <c r="B13" s="100" t="e">
        <f>SourceValues!#REF!</f>
        <v>#REF!</v>
      </c>
      <c r="C13" s="101" t="e">
        <f>SourceValues!#REF!</f>
        <v>#REF!</v>
      </c>
      <c r="D13" s="102" t="e">
        <f>SourceValues!#REF!</f>
        <v>#REF!</v>
      </c>
      <c r="E13" s="4" t="e">
        <f>SourceValues!#REF!</f>
        <v>#REF!</v>
      </c>
      <c r="F13" s="5" t="e">
        <f>SUM(#REF!)</f>
        <v>#REF!</v>
      </c>
      <c r="G13" s="113" t="e">
        <f t="shared" si="0"/>
        <v>#REF!</v>
      </c>
      <c r="H13" s="5" t="e">
        <f>SUM(#REF!)</f>
        <v>#REF!</v>
      </c>
      <c r="I13" s="113" t="e">
        <f t="shared" si="1"/>
        <v>#REF!</v>
      </c>
      <c r="J13" s="5" t="e">
        <f>SUM(#REF!)</f>
        <v>#REF!</v>
      </c>
      <c r="K13" s="113" t="e">
        <f t="shared" si="2"/>
        <v>#REF!</v>
      </c>
      <c r="L13" s="5" t="e">
        <f>SUM(#REF!)</f>
        <v>#REF!</v>
      </c>
      <c r="M13" s="113" t="e">
        <f t="shared" si="3"/>
        <v>#REF!</v>
      </c>
      <c r="N13" s="5" t="e">
        <f>SUM(#REF!)</f>
        <v>#REF!</v>
      </c>
      <c r="O13" s="113" t="e">
        <f t="shared" si="4"/>
        <v>#REF!</v>
      </c>
      <c r="P13" s="111" t="e">
        <f>SUM(#REF!)</f>
        <v>#REF!</v>
      </c>
      <c r="Q13" s="113" t="e">
        <f t="shared" si="5"/>
        <v>#REF!</v>
      </c>
      <c r="R13" s="111" t="e">
        <f>SUM(#REF!)</f>
        <v>#REF!</v>
      </c>
      <c r="S13" s="113" t="e">
        <f t="shared" si="6"/>
        <v>#REF!</v>
      </c>
      <c r="T13" s="5" t="e">
        <f>SUM(#REF!)</f>
        <v>#REF!</v>
      </c>
      <c r="U13" s="113" t="e">
        <f t="shared" si="7"/>
        <v>#REF!</v>
      </c>
      <c r="V13" s="5" t="e">
        <f>SUM(#REF!)</f>
        <v>#REF!</v>
      </c>
      <c r="W13" s="113" t="e">
        <f t="shared" si="8"/>
        <v>#REF!</v>
      </c>
      <c r="X13" s="5" t="e">
        <f>SUM(#REF!)</f>
        <v>#REF!</v>
      </c>
      <c r="Y13" s="113" t="e">
        <f t="shared" si="9"/>
        <v>#REF!</v>
      </c>
    </row>
    <row r="14" spans="1:25" x14ac:dyDescent="0.25">
      <c r="B14" s="100" t="e">
        <f>SourceValues!#REF!</f>
        <v>#REF!</v>
      </c>
      <c r="C14" s="101" t="e">
        <f>SourceValues!#REF!</f>
        <v>#REF!</v>
      </c>
      <c r="D14" s="102" t="e">
        <f>SourceValues!#REF!</f>
        <v>#REF!</v>
      </c>
      <c r="E14" s="4" t="e">
        <f>SourceValues!#REF!</f>
        <v>#REF!</v>
      </c>
      <c r="F14" s="5" t="e">
        <f>SUM(#REF!)</f>
        <v>#REF!</v>
      </c>
      <c r="G14" s="113" t="e">
        <f t="shared" si="0"/>
        <v>#REF!</v>
      </c>
      <c r="H14" s="5" t="e">
        <f>SUM(#REF!)</f>
        <v>#REF!</v>
      </c>
      <c r="I14" s="113" t="e">
        <f t="shared" si="1"/>
        <v>#REF!</v>
      </c>
      <c r="J14" s="5" t="e">
        <f>SUM(#REF!)</f>
        <v>#REF!</v>
      </c>
      <c r="K14" s="113" t="e">
        <f t="shared" si="2"/>
        <v>#REF!</v>
      </c>
      <c r="L14" s="5" t="e">
        <f>SUM(#REF!)</f>
        <v>#REF!</v>
      </c>
      <c r="M14" s="113" t="e">
        <f t="shared" si="3"/>
        <v>#REF!</v>
      </c>
      <c r="N14" s="5" t="e">
        <f>SUM(#REF!)</f>
        <v>#REF!</v>
      </c>
      <c r="O14" s="113" t="e">
        <f t="shared" si="4"/>
        <v>#REF!</v>
      </c>
      <c r="P14" s="111" t="e">
        <f>SUM(#REF!)</f>
        <v>#REF!</v>
      </c>
      <c r="Q14" s="113" t="e">
        <f t="shared" si="5"/>
        <v>#REF!</v>
      </c>
      <c r="R14" s="111" t="e">
        <f>SUM(#REF!)</f>
        <v>#REF!</v>
      </c>
      <c r="S14" s="113" t="e">
        <f t="shared" si="6"/>
        <v>#REF!</v>
      </c>
      <c r="T14" s="5" t="e">
        <f>SUM(#REF!)</f>
        <v>#REF!</v>
      </c>
      <c r="U14" s="113" t="e">
        <f t="shared" si="7"/>
        <v>#REF!</v>
      </c>
      <c r="V14" s="5" t="e">
        <f>SUM(#REF!)</f>
        <v>#REF!</v>
      </c>
      <c r="W14" s="113" t="e">
        <f t="shared" si="8"/>
        <v>#REF!</v>
      </c>
      <c r="X14" s="5" t="e">
        <f>SUM(#REF!)</f>
        <v>#REF!</v>
      </c>
      <c r="Y14" s="113" t="e">
        <f t="shared" si="9"/>
        <v>#REF!</v>
      </c>
    </row>
    <row r="15" spans="1:25" x14ac:dyDescent="0.25">
      <c r="B15" s="100" t="e">
        <f>SourceValues!#REF!</f>
        <v>#REF!</v>
      </c>
      <c r="C15" s="101" t="e">
        <f>SourceValues!#REF!</f>
        <v>#REF!</v>
      </c>
      <c r="D15" s="102" t="e">
        <f>SourceValues!#REF!</f>
        <v>#REF!</v>
      </c>
      <c r="E15" s="4" t="e">
        <f>SourceValues!#REF!</f>
        <v>#REF!</v>
      </c>
      <c r="F15" s="5" t="e">
        <f>SUM(#REF!)</f>
        <v>#REF!</v>
      </c>
      <c r="G15" s="113" t="e">
        <f t="shared" si="0"/>
        <v>#REF!</v>
      </c>
      <c r="H15" s="5" t="e">
        <f>SUM(#REF!)</f>
        <v>#REF!</v>
      </c>
      <c r="I15" s="113" t="e">
        <f t="shared" si="1"/>
        <v>#REF!</v>
      </c>
      <c r="J15" s="5" t="e">
        <f>SUM(#REF!)</f>
        <v>#REF!</v>
      </c>
      <c r="K15" s="113" t="e">
        <f t="shared" si="2"/>
        <v>#REF!</v>
      </c>
      <c r="L15" s="5" t="e">
        <f>SUM(#REF!)</f>
        <v>#REF!</v>
      </c>
      <c r="M15" s="113" t="e">
        <f t="shared" si="3"/>
        <v>#REF!</v>
      </c>
      <c r="N15" s="5" t="e">
        <f>SUM(#REF!)</f>
        <v>#REF!</v>
      </c>
      <c r="O15" s="113" t="e">
        <f t="shared" si="4"/>
        <v>#REF!</v>
      </c>
      <c r="P15" s="111" t="e">
        <f>SUM(#REF!)</f>
        <v>#REF!</v>
      </c>
      <c r="Q15" s="113" t="e">
        <f t="shared" si="5"/>
        <v>#REF!</v>
      </c>
      <c r="R15" s="111" t="e">
        <f>SUM(#REF!)</f>
        <v>#REF!</v>
      </c>
      <c r="S15" s="113" t="e">
        <f t="shared" si="6"/>
        <v>#REF!</v>
      </c>
      <c r="T15" s="5" t="e">
        <f>SUM(#REF!)</f>
        <v>#REF!</v>
      </c>
      <c r="U15" s="113" t="e">
        <f t="shared" si="7"/>
        <v>#REF!</v>
      </c>
      <c r="V15" s="5" t="e">
        <f>SUM(#REF!)</f>
        <v>#REF!</v>
      </c>
      <c r="W15" s="113" t="e">
        <f t="shared" si="8"/>
        <v>#REF!</v>
      </c>
      <c r="X15" s="5" t="e">
        <f>SUM(#REF!)</f>
        <v>#REF!</v>
      </c>
      <c r="Y15" s="113" t="e">
        <f t="shared" si="9"/>
        <v>#REF!</v>
      </c>
    </row>
    <row r="16" spans="1:25" x14ac:dyDescent="0.25">
      <c r="B16" s="100" t="e">
        <f>SourceValues!#REF!</f>
        <v>#REF!</v>
      </c>
      <c r="C16" s="101" t="e">
        <f>SourceValues!#REF!</f>
        <v>#REF!</v>
      </c>
      <c r="D16" s="102" t="e">
        <f>SourceValues!#REF!</f>
        <v>#REF!</v>
      </c>
      <c r="E16" s="4" t="e">
        <f>SourceValues!#REF!</f>
        <v>#REF!</v>
      </c>
      <c r="F16" s="5" t="e">
        <f>SUM(#REF!)</f>
        <v>#REF!</v>
      </c>
      <c r="G16" s="113" t="e">
        <f t="shared" si="0"/>
        <v>#REF!</v>
      </c>
      <c r="H16" s="5" t="e">
        <f>SUM(#REF!)</f>
        <v>#REF!</v>
      </c>
      <c r="I16" s="113" t="e">
        <f t="shared" si="1"/>
        <v>#REF!</v>
      </c>
      <c r="J16" s="5" t="e">
        <f>SUM(#REF!)</f>
        <v>#REF!</v>
      </c>
      <c r="K16" s="113" t="e">
        <f t="shared" si="2"/>
        <v>#REF!</v>
      </c>
      <c r="L16" s="5" t="e">
        <f>SUM(#REF!)</f>
        <v>#REF!</v>
      </c>
      <c r="M16" s="113" t="e">
        <f t="shared" si="3"/>
        <v>#REF!</v>
      </c>
      <c r="N16" s="5" t="e">
        <f>SUM(#REF!)</f>
        <v>#REF!</v>
      </c>
      <c r="O16" s="113" t="e">
        <f t="shared" si="4"/>
        <v>#REF!</v>
      </c>
      <c r="P16" s="111" t="e">
        <f>SUM(#REF!)</f>
        <v>#REF!</v>
      </c>
      <c r="Q16" s="113" t="e">
        <f t="shared" si="5"/>
        <v>#REF!</v>
      </c>
      <c r="R16" s="111" t="e">
        <f>SUM(#REF!)</f>
        <v>#REF!</v>
      </c>
      <c r="S16" s="113" t="e">
        <f t="shared" si="6"/>
        <v>#REF!</v>
      </c>
      <c r="T16" s="5" t="e">
        <f>SUM(#REF!)</f>
        <v>#REF!</v>
      </c>
      <c r="U16" s="113" t="e">
        <f t="shared" si="7"/>
        <v>#REF!</v>
      </c>
      <c r="V16" s="5" t="e">
        <f>SUM(#REF!)</f>
        <v>#REF!</v>
      </c>
      <c r="W16" s="113" t="e">
        <f t="shared" si="8"/>
        <v>#REF!</v>
      </c>
      <c r="X16" s="5" t="e">
        <f>SUM(#REF!)</f>
        <v>#REF!</v>
      </c>
      <c r="Y16" s="113" t="e">
        <f t="shared" si="9"/>
        <v>#REF!</v>
      </c>
    </row>
    <row r="17" spans="2:25" x14ac:dyDescent="0.25">
      <c r="B17" s="100" t="e">
        <f>SourceValues!#REF!</f>
        <v>#REF!</v>
      </c>
      <c r="C17" s="101" t="e">
        <f>SourceValues!#REF!</f>
        <v>#REF!</v>
      </c>
      <c r="D17" s="102" t="e">
        <f>SourceValues!#REF!</f>
        <v>#REF!</v>
      </c>
      <c r="E17" s="4" t="e">
        <f>SourceValues!#REF!</f>
        <v>#REF!</v>
      </c>
      <c r="F17" s="5" t="e">
        <f>SUM(#REF!)</f>
        <v>#REF!</v>
      </c>
      <c r="G17" s="113" t="e">
        <f t="shared" si="0"/>
        <v>#REF!</v>
      </c>
      <c r="H17" s="5" t="e">
        <f>SUM(#REF!)</f>
        <v>#REF!</v>
      </c>
      <c r="I17" s="113" t="e">
        <f t="shared" si="1"/>
        <v>#REF!</v>
      </c>
      <c r="J17" s="5" t="e">
        <f>SUM(#REF!)</f>
        <v>#REF!</v>
      </c>
      <c r="K17" s="113" t="e">
        <f t="shared" si="2"/>
        <v>#REF!</v>
      </c>
      <c r="L17" s="5" t="e">
        <f>SUM(#REF!)</f>
        <v>#REF!</v>
      </c>
      <c r="M17" s="113" t="e">
        <f t="shared" si="3"/>
        <v>#REF!</v>
      </c>
      <c r="N17" s="5" t="e">
        <f>SUM(#REF!)</f>
        <v>#REF!</v>
      </c>
      <c r="O17" s="113" t="e">
        <f t="shared" si="4"/>
        <v>#REF!</v>
      </c>
      <c r="P17" s="111" t="e">
        <f>SUM(#REF!)</f>
        <v>#REF!</v>
      </c>
      <c r="Q17" s="113" t="e">
        <f t="shared" si="5"/>
        <v>#REF!</v>
      </c>
      <c r="R17" s="111" t="e">
        <f>SUM(#REF!)</f>
        <v>#REF!</v>
      </c>
      <c r="S17" s="113" t="e">
        <f t="shared" si="6"/>
        <v>#REF!</v>
      </c>
      <c r="T17" s="5" t="e">
        <f>SUM(#REF!)</f>
        <v>#REF!</v>
      </c>
      <c r="U17" s="113" t="e">
        <f t="shared" si="7"/>
        <v>#REF!</v>
      </c>
      <c r="V17" s="5" t="e">
        <f>SUM(#REF!)</f>
        <v>#REF!</v>
      </c>
      <c r="W17" s="113" t="e">
        <f t="shared" si="8"/>
        <v>#REF!</v>
      </c>
      <c r="X17" s="5" t="e">
        <f>SUM(#REF!)</f>
        <v>#REF!</v>
      </c>
      <c r="Y17" s="113" t="e">
        <f t="shared" si="9"/>
        <v>#REF!</v>
      </c>
    </row>
    <row r="18" spans="2:25" x14ac:dyDescent="0.25">
      <c r="B18" s="100" t="e">
        <f>SourceValues!#REF!</f>
        <v>#REF!</v>
      </c>
      <c r="C18" s="101" t="e">
        <f>SourceValues!#REF!</f>
        <v>#REF!</v>
      </c>
      <c r="D18" s="102" t="e">
        <f>SourceValues!#REF!</f>
        <v>#REF!</v>
      </c>
      <c r="E18" s="4" t="e">
        <f>SourceValues!#REF!</f>
        <v>#REF!</v>
      </c>
      <c r="F18" s="5" t="e">
        <f>SUM(#REF!)</f>
        <v>#REF!</v>
      </c>
      <c r="G18" s="113" t="e">
        <f t="shared" si="0"/>
        <v>#REF!</v>
      </c>
      <c r="H18" s="5" t="e">
        <f>SUM(#REF!)</f>
        <v>#REF!</v>
      </c>
      <c r="I18" s="113" t="e">
        <f t="shared" si="1"/>
        <v>#REF!</v>
      </c>
      <c r="J18" s="5" t="e">
        <f>SUM(#REF!)</f>
        <v>#REF!</v>
      </c>
      <c r="K18" s="113" t="e">
        <f t="shared" si="2"/>
        <v>#REF!</v>
      </c>
      <c r="L18" s="5" t="e">
        <f>SUM(#REF!)</f>
        <v>#REF!</v>
      </c>
      <c r="M18" s="113" t="e">
        <f t="shared" si="3"/>
        <v>#REF!</v>
      </c>
      <c r="N18" s="5" t="e">
        <f>SUM(#REF!)</f>
        <v>#REF!</v>
      </c>
      <c r="O18" s="113" t="e">
        <f t="shared" si="4"/>
        <v>#REF!</v>
      </c>
      <c r="P18" s="111" t="e">
        <f>SUM(#REF!)</f>
        <v>#REF!</v>
      </c>
      <c r="Q18" s="113" t="e">
        <f t="shared" si="5"/>
        <v>#REF!</v>
      </c>
      <c r="R18" s="111" t="e">
        <f>SUM(#REF!)</f>
        <v>#REF!</v>
      </c>
      <c r="S18" s="113" t="e">
        <f t="shared" si="6"/>
        <v>#REF!</v>
      </c>
      <c r="T18" s="5" t="e">
        <f>SUM(#REF!)</f>
        <v>#REF!</v>
      </c>
      <c r="U18" s="113" t="e">
        <f t="shared" si="7"/>
        <v>#REF!</v>
      </c>
      <c r="V18" s="5" t="e">
        <f>SUM(#REF!)</f>
        <v>#REF!</v>
      </c>
      <c r="W18" s="113" t="e">
        <f t="shared" si="8"/>
        <v>#REF!</v>
      </c>
      <c r="X18" s="5" t="e">
        <f>SUM(#REF!)</f>
        <v>#REF!</v>
      </c>
      <c r="Y18" s="113" t="e">
        <f t="shared" si="9"/>
        <v>#REF!</v>
      </c>
    </row>
    <row r="19" spans="2:25" x14ac:dyDescent="0.25">
      <c r="B19" s="100" t="e">
        <f>SourceValues!#REF!</f>
        <v>#REF!</v>
      </c>
      <c r="C19" s="101" t="e">
        <f>SourceValues!#REF!</f>
        <v>#REF!</v>
      </c>
      <c r="D19" s="102" t="e">
        <f>SourceValues!#REF!</f>
        <v>#REF!</v>
      </c>
      <c r="E19" s="4" t="e">
        <f>SourceValues!#REF!</f>
        <v>#REF!</v>
      </c>
      <c r="F19" s="5" t="e">
        <f>SUM(#REF!)</f>
        <v>#REF!</v>
      </c>
      <c r="G19" s="113" t="e">
        <f t="shared" si="0"/>
        <v>#REF!</v>
      </c>
      <c r="H19" s="5" t="e">
        <f>SUM(#REF!)</f>
        <v>#REF!</v>
      </c>
      <c r="I19" s="113" t="e">
        <f t="shared" si="1"/>
        <v>#REF!</v>
      </c>
      <c r="J19" s="5" t="e">
        <f>SUM(#REF!)</f>
        <v>#REF!</v>
      </c>
      <c r="K19" s="113" t="e">
        <f t="shared" si="2"/>
        <v>#REF!</v>
      </c>
      <c r="L19" s="5" t="e">
        <f>SUM(#REF!)</f>
        <v>#REF!</v>
      </c>
      <c r="M19" s="113" t="e">
        <f t="shared" si="3"/>
        <v>#REF!</v>
      </c>
      <c r="N19" s="5" t="e">
        <f>SUM(#REF!)</f>
        <v>#REF!</v>
      </c>
      <c r="O19" s="113" t="e">
        <f t="shared" si="4"/>
        <v>#REF!</v>
      </c>
      <c r="P19" s="111" t="e">
        <f>SUM(#REF!)</f>
        <v>#REF!</v>
      </c>
      <c r="Q19" s="113" t="e">
        <f t="shared" si="5"/>
        <v>#REF!</v>
      </c>
      <c r="R19" s="111" t="e">
        <f>SUM(#REF!)</f>
        <v>#REF!</v>
      </c>
      <c r="S19" s="113" t="e">
        <f t="shared" si="6"/>
        <v>#REF!</v>
      </c>
      <c r="T19" s="5" t="e">
        <f>SUM(#REF!)</f>
        <v>#REF!</v>
      </c>
      <c r="U19" s="113" t="e">
        <f t="shared" si="7"/>
        <v>#REF!</v>
      </c>
      <c r="V19" s="5" t="e">
        <f>SUM(#REF!)</f>
        <v>#REF!</v>
      </c>
      <c r="W19" s="113" t="e">
        <f t="shared" si="8"/>
        <v>#REF!</v>
      </c>
      <c r="X19" s="5" t="e">
        <f>SUM(#REF!)</f>
        <v>#REF!</v>
      </c>
      <c r="Y19" s="113" t="e">
        <f t="shared" si="9"/>
        <v>#REF!</v>
      </c>
    </row>
    <row r="20" spans="2:25" x14ac:dyDescent="0.25">
      <c r="B20" s="100" t="e">
        <f>SourceValues!#REF!</f>
        <v>#REF!</v>
      </c>
      <c r="C20" s="101" t="e">
        <f>SourceValues!#REF!</f>
        <v>#REF!</v>
      </c>
      <c r="D20" s="102" t="e">
        <f>SourceValues!#REF!</f>
        <v>#REF!</v>
      </c>
      <c r="E20" s="4" t="e">
        <f>SourceValues!#REF!</f>
        <v>#REF!</v>
      </c>
      <c r="F20" s="5" t="e">
        <f>SUM(#REF!)</f>
        <v>#REF!</v>
      </c>
      <c r="G20" s="113" t="e">
        <f t="shared" si="0"/>
        <v>#REF!</v>
      </c>
      <c r="H20" s="5" t="e">
        <f>SUM(#REF!)</f>
        <v>#REF!</v>
      </c>
      <c r="I20" s="113" t="e">
        <f t="shared" si="1"/>
        <v>#REF!</v>
      </c>
      <c r="J20" s="5" t="e">
        <f>SUM(#REF!)</f>
        <v>#REF!</v>
      </c>
      <c r="K20" s="113" t="e">
        <f t="shared" si="2"/>
        <v>#REF!</v>
      </c>
      <c r="L20" s="5" t="e">
        <f>SUM(#REF!)</f>
        <v>#REF!</v>
      </c>
      <c r="M20" s="113" t="e">
        <f t="shared" si="3"/>
        <v>#REF!</v>
      </c>
      <c r="N20" s="5" t="e">
        <f>SUM(#REF!)</f>
        <v>#REF!</v>
      </c>
      <c r="O20" s="113" t="e">
        <f t="shared" si="4"/>
        <v>#REF!</v>
      </c>
      <c r="P20" s="111" t="e">
        <f>SUM(#REF!)</f>
        <v>#REF!</v>
      </c>
      <c r="Q20" s="113" t="e">
        <f t="shared" si="5"/>
        <v>#REF!</v>
      </c>
      <c r="R20" s="111" t="e">
        <f>SUM(#REF!)</f>
        <v>#REF!</v>
      </c>
      <c r="S20" s="113" t="e">
        <f t="shared" si="6"/>
        <v>#REF!</v>
      </c>
      <c r="T20" s="5" t="e">
        <f>SUM(#REF!)</f>
        <v>#REF!</v>
      </c>
      <c r="U20" s="113" t="e">
        <f t="shared" si="7"/>
        <v>#REF!</v>
      </c>
      <c r="V20" s="5" t="e">
        <f>SUM(#REF!)</f>
        <v>#REF!</v>
      </c>
      <c r="W20" s="113" t="e">
        <f t="shared" si="8"/>
        <v>#REF!</v>
      </c>
      <c r="X20" s="5" t="e">
        <f>SUM(#REF!)</f>
        <v>#REF!</v>
      </c>
      <c r="Y20" s="113" t="e">
        <f t="shared" si="9"/>
        <v>#REF!</v>
      </c>
    </row>
    <row r="21" spans="2:25" x14ac:dyDescent="0.25">
      <c r="B21" s="100" t="e">
        <f>SourceValues!#REF!</f>
        <v>#REF!</v>
      </c>
      <c r="C21" s="101" t="e">
        <f>SourceValues!#REF!</f>
        <v>#REF!</v>
      </c>
      <c r="D21" s="102" t="e">
        <f>SourceValues!#REF!</f>
        <v>#REF!</v>
      </c>
      <c r="E21" s="4" t="e">
        <f>SourceValues!#REF!</f>
        <v>#REF!</v>
      </c>
      <c r="F21" s="5" t="e">
        <f>SUM(#REF!)</f>
        <v>#REF!</v>
      </c>
      <c r="G21" s="113" t="e">
        <f t="shared" si="0"/>
        <v>#REF!</v>
      </c>
      <c r="H21" s="5" t="e">
        <f>SUM(#REF!)</f>
        <v>#REF!</v>
      </c>
      <c r="I21" s="113" t="e">
        <f t="shared" si="1"/>
        <v>#REF!</v>
      </c>
      <c r="J21" s="5" t="e">
        <f>SUM(#REF!)</f>
        <v>#REF!</v>
      </c>
      <c r="K21" s="113" t="e">
        <f t="shared" si="2"/>
        <v>#REF!</v>
      </c>
      <c r="L21" s="5" t="e">
        <f>SUM(#REF!)</f>
        <v>#REF!</v>
      </c>
      <c r="M21" s="113" t="e">
        <f t="shared" si="3"/>
        <v>#REF!</v>
      </c>
      <c r="N21" s="5" t="e">
        <f>SUM(#REF!)</f>
        <v>#REF!</v>
      </c>
      <c r="O21" s="113" t="e">
        <f t="shared" si="4"/>
        <v>#REF!</v>
      </c>
      <c r="P21" s="111" t="e">
        <f>SUM(#REF!)</f>
        <v>#REF!</v>
      </c>
      <c r="Q21" s="113" t="e">
        <f t="shared" si="5"/>
        <v>#REF!</v>
      </c>
      <c r="R21" s="111" t="e">
        <f>SUM(#REF!)</f>
        <v>#REF!</v>
      </c>
      <c r="S21" s="113" t="e">
        <f t="shared" si="6"/>
        <v>#REF!</v>
      </c>
      <c r="T21" s="5" t="e">
        <f>SUM(#REF!)</f>
        <v>#REF!</v>
      </c>
      <c r="U21" s="113" t="e">
        <f t="shared" si="7"/>
        <v>#REF!</v>
      </c>
      <c r="V21" s="5" t="e">
        <f>SUM(#REF!)</f>
        <v>#REF!</v>
      </c>
      <c r="W21" s="113" t="e">
        <f t="shared" si="8"/>
        <v>#REF!</v>
      </c>
      <c r="X21" s="5" t="e">
        <f>SUM(#REF!)</f>
        <v>#REF!</v>
      </c>
      <c r="Y21" s="113" t="e">
        <f t="shared" si="9"/>
        <v>#REF!</v>
      </c>
    </row>
    <row r="22" spans="2:25" x14ac:dyDescent="0.25">
      <c r="B22" s="100" t="e">
        <f>SourceValues!#REF!</f>
        <v>#REF!</v>
      </c>
      <c r="C22" s="101" t="e">
        <f>SourceValues!#REF!</f>
        <v>#REF!</v>
      </c>
      <c r="D22" s="102" t="e">
        <f>SourceValues!#REF!</f>
        <v>#REF!</v>
      </c>
      <c r="E22" s="4" t="e">
        <f>SourceValues!#REF!</f>
        <v>#REF!</v>
      </c>
      <c r="F22" s="5" t="e">
        <f>SUM(#REF!)</f>
        <v>#REF!</v>
      </c>
      <c r="G22" s="113" t="e">
        <f t="shared" si="0"/>
        <v>#REF!</v>
      </c>
      <c r="H22" s="5" t="e">
        <f>SUM(#REF!)</f>
        <v>#REF!</v>
      </c>
      <c r="I22" s="113" t="e">
        <f t="shared" si="1"/>
        <v>#REF!</v>
      </c>
      <c r="J22" s="5" t="e">
        <f>SUM(#REF!)</f>
        <v>#REF!</v>
      </c>
      <c r="K22" s="113" t="e">
        <f t="shared" si="2"/>
        <v>#REF!</v>
      </c>
      <c r="L22" s="5" t="e">
        <f>SUM(#REF!)</f>
        <v>#REF!</v>
      </c>
      <c r="M22" s="113" t="e">
        <f t="shared" si="3"/>
        <v>#REF!</v>
      </c>
      <c r="N22" s="5" t="e">
        <f>SUM(#REF!)</f>
        <v>#REF!</v>
      </c>
      <c r="O22" s="113" t="e">
        <f t="shared" si="4"/>
        <v>#REF!</v>
      </c>
      <c r="P22" s="111" t="e">
        <f>SUM(#REF!)</f>
        <v>#REF!</v>
      </c>
      <c r="Q22" s="113" t="e">
        <f t="shared" si="5"/>
        <v>#REF!</v>
      </c>
      <c r="R22" s="111" t="e">
        <f>SUM(#REF!)</f>
        <v>#REF!</v>
      </c>
      <c r="S22" s="113" t="e">
        <f t="shared" si="6"/>
        <v>#REF!</v>
      </c>
      <c r="T22" s="5" t="e">
        <f>SUM(#REF!)</f>
        <v>#REF!</v>
      </c>
      <c r="U22" s="113" t="e">
        <f t="shared" si="7"/>
        <v>#REF!</v>
      </c>
      <c r="V22" s="5" t="e">
        <f>SUM(#REF!)</f>
        <v>#REF!</v>
      </c>
      <c r="W22" s="113" t="e">
        <f t="shared" si="8"/>
        <v>#REF!</v>
      </c>
      <c r="X22" s="5" t="e">
        <f>SUM(#REF!)</f>
        <v>#REF!</v>
      </c>
      <c r="Y22" s="113" t="e">
        <f t="shared" si="9"/>
        <v>#REF!</v>
      </c>
    </row>
    <row r="23" spans="2:25" x14ac:dyDescent="0.25">
      <c r="B23" s="100" t="e">
        <f>SourceValues!#REF!</f>
        <v>#REF!</v>
      </c>
      <c r="C23" s="101" t="e">
        <f>SourceValues!#REF!</f>
        <v>#REF!</v>
      </c>
      <c r="D23" s="102" t="e">
        <f>SourceValues!#REF!</f>
        <v>#REF!</v>
      </c>
      <c r="E23" s="4" t="e">
        <f>SourceValues!#REF!</f>
        <v>#REF!</v>
      </c>
      <c r="F23" s="5" t="e">
        <f>SUM(#REF!)</f>
        <v>#REF!</v>
      </c>
      <c r="G23" s="113" t="e">
        <f t="shared" si="0"/>
        <v>#REF!</v>
      </c>
      <c r="H23" s="5" t="e">
        <f>SUM(#REF!)</f>
        <v>#REF!</v>
      </c>
      <c r="I23" s="113" t="e">
        <f t="shared" si="1"/>
        <v>#REF!</v>
      </c>
      <c r="J23" s="5" t="e">
        <f>SUM(#REF!)</f>
        <v>#REF!</v>
      </c>
      <c r="K23" s="113" t="e">
        <f t="shared" si="2"/>
        <v>#REF!</v>
      </c>
      <c r="L23" s="5" t="e">
        <f>SUM(#REF!)</f>
        <v>#REF!</v>
      </c>
      <c r="M23" s="113" t="e">
        <f t="shared" si="3"/>
        <v>#REF!</v>
      </c>
      <c r="N23" s="5" t="e">
        <f>SUM(#REF!)</f>
        <v>#REF!</v>
      </c>
      <c r="O23" s="113" t="e">
        <f t="shared" si="4"/>
        <v>#REF!</v>
      </c>
      <c r="P23" s="111" t="e">
        <f>SUM(#REF!)</f>
        <v>#REF!</v>
      </c>
      <c r="Q23" s="113" t="e">
        <f t="shared" si="5"/>
        <v>#REF!</v>
      </c>
      <c r="R23" s="111" t="e">
        <f>SUM(#REF!)</f>
        <v>#REF!</v>
      </c>
      <c r="S23" s="113" t="e">
        <f t="shared" si="6"/>
        <v>#REF!</v>
      </c>
      <c r="T23" s="5" t="e">
        <f>SUM(#REF!)</f>
        <v>#REF!</v>
      </c>
      <c r="U23" s="113" t="e">
        <f t="shared" si="7"/>
        <v>#REF!</v>
      </c>
      <c r="V23" s="5" t="e">
        <f>SUM(#REF!)</f>
        <v>#REF!</v>
      </c>
      <c r="W23" s="113" t="e">
        <f t="shared" si="8"/>
        <v>#REF!</v>
      </c>
      <c r="X23" s="5" t="e">
        <f>SUM(#REF!)</f>
        <v>#REF!</v>
      </c>
      <c r="Y23" s="113" t="e">
        <f t="shared" si="9"/>
        <v>#REF!</v>
      </c>
    </row>
    <row r="24" spans="2:25" x14ac:dyDescent="0.25">
      <c r="B24" s="100" t="e">
        <f>SourceValues!#REF!</f>
        <v>#REF!</v>
      </c>
      <c r="C24" s="101" t="e">
        <f>SourceValues!#REF!</f>
        <v>#REF!</v>
      </c>
      <c r="D24" s="102" t="e">
        <f>SourceValues!#REF!</f>
        <v>#REF!</v>
      </c>
      <c r="E24" s="4" t="e">
        <f>SourceValues!#REF!</f>
        <v>#REF!</v>
      </c>
      <c r="F24" s="5" t="e">
        <f>SUM(#REF!)</f>
        <v>#REF!</v>
      </c>
      <c r="G24" s="113" t="e">
        <f t="shared" si="0"/>
        <v>#REF!</v>
      </c>
      <c r="H24" s="5" t="e">
        <f>SUM(#REF!)</f>
        <v>#REF!</v>
      </c>
      <c r="I24" s="113" t="e">
        <f t="shared" si="1"/>
        <v>#REF!</v>
      </c>
      <c r="J24" s="5" t="e">
        <f>SUM(#REF!)</f>
        <v>#REF!</v>
      </c>
      <c r="K24" s="113" t="e">
        <f t="shared" si="2"/>
        <v>#REF!</v>
      </c>
      <c r="L24" s="5" t="e">
        <f>SUM(#REF!)</f>
        <v>#REF!</v>
      </c>
      <c r="M24" s="113" t="e">
        <f t="shared" si="3"/>
        <v>#REF!</v>
      </c>
      <c r="N24" s="5" t="e">
        <f>SUM(#REF!)</f>
        <v>#REF!</v>
      </c>
      <c r="O24" s="113" t="e">
        <f t="shared" si="4"/>
        <v>#REF!</v>
      </c>
      <c r="P24" s="111" t="e">
        <f>SUM(#REF!)</f>
        <v>#REF!</v>
      </c>
      <c r="Q24" s="113" t="e">
        <f t="shared" si="5"/>
        <v>#REF!</v>
      </c>
      <c r="R24" s="111" t="e">
        <f>SUM(#REF!)</f>
        <v>#REF!</v>
      </c>
      <c r="S24" s="113" t="e">
        <f t="shared" si="6"/>
        <v>#REF!</v>
      </c>
      <c r="T24" s="5" t="e">
        <f>SUM(#REF!)</f>
        <v>#REF!</v>
      </c>
      <c r="U24" s="113" t="e">
        <f t="shared" si="7"/>
        <v>#REF!</v>
      </c>
      <c r="V24" s="5" t="e">
        <f>SUM(#REF!)</f>
        <v>#REF!</v>
      </c>
      <c r="W24" s="113" t="e">
        <f t="shared" si="8"/>
        <v>#REF!</v>
      </c>
      <c r="X24" s="5" t="e">
        <f>SUM(#REF!)</f>
        <v>#REF!</v>
      </c>
      <c r="Y24" s="113" t="e">
        <f t="shared" si="9"/>
        <v>#REF!</v>
      </c>
    </row>
    <row r="25" spans="2:25" x14ac:dyDescent="0.25">
      <c r="B25" s="100" t="e">
        <f>SourceValues!#REF!</f>
        <v>#REF!</v>
      </c>
      <c r="C25" s="101" t="e">
        <f>SourceValues!#REF!</f>
        <v>#REF!</v>
      </c>
      <c r="D25" s="102" t="e">
        <f>SourceValues!#REF!</f>
        <v>#REF!</v>
      </c>
      <c r="E25" s="4" t="e">
        <f>SourceValues!#REF!</f>
        <v>#REF!</v>
      </c>
      <c r="F25" s="5" t="e">
        <f>SUM(#REF!)</f>
        <v>#REF!</v>
      </c>
      <c r="G25" s="113" t="e">
        <f t="shared" si="0"/>
        <v>#REF!</v>
      </c>
      <c r="H25" s="5" t="e">
        <f>SUM(#REF!)</f>
        <v>#REF!</v>
      </c>
      <c r="I25" s="113" t="e">
        <f t="shared" si="1"/>
        <v>#REF!</v>
      </c>
      <c r="J25" s="5" t="e">
        <f>SUM(#REF!)</f>
        <v>#REF!</v>
      </c>
      <c r="K25" s="113" t="e">
        <f t="shared" si="2"/>
        <v>#REF!</v>
      </c>
      <c r="L25" s="5" t="e">
        <f>SUM(#REF!)</f>
        <v>#REF!</v>
      </c>
      <c r="M25" s="113" t="e">
        <f t="shared" si="3"/>
        <v>#REF!</v>
      </c>
      <c r="N25" s="5" t="e">
        <f>SUM(#REF!)</f>
        <v>#REF!</v>
      </c>
      <c r="O25" s="113" t="e">
        <f t="shared" si="4"/>
        <v>#REF!</v>
      </c>
      <c r="P25" s="111" t="e">
        <f>SUM(#REF!)</f>
        <v>#REF!</v>
      </c>
      <c r="Q25" s="113" t="e">
        <f t="shared" si="5"/>
        <v>#REF!</v>
      </c>
      <c r="R25" s="111" t="e">
        <f>SUM(#REF!)</f>
        <v>#REF!</v>
      </c>
      <c r="S25" s="113" t="e">
        <f t="shared" si="6"/>
        <v>#REF!</v>
      </c>
      <c r="T25" s="5" t="e">
        <f>SUM(#REF!)</f>
        <v>#REF!</v>
      </c>
      <c r="U25" s="113" t="e">
        <f t="shared" si="7"/>
        <v>#REF!</v>
      </c>
      <c r="V25" s="5" t="e">
        <f>SUM(#REF!)</f>
        <v>#REF!</v>
      </c>
      <c r="W25" s="113" t="e">
        <f t="shared" si="8"/>
        <v>#REF!</v>
      </c>
      <c r="X25" s="5" t="e">
        <f>SUM(#REF!)</f>
        <v>#REF!</v>
      </c>
      <c r="Y25" s="113" t="e">
        <f t="shared" si="9"/>
        <v>#REF!</v>
      </c>
    </row>
    <row r="26" spans="2:25" x14ac:dyDescent="0.25">
      <c r="B26" s="100" t="e">
        <f>SourceValues!#REF!</f>
        <v>#REF!</v>
      </c>
      <c r="C26" s="101" t="e">
        <f>SourceValues!#REF!</f>
        <v>#REF!</v>
      </c>
      <c r="D26" s="102" t="e">
        <f>SourceValues!#REF!</f>
        <v>#REF!</v>
      </c>
      <c r="E26" s="4" t="e">
        <f>SourceValues!#REF!</f>
        <v>#REF!</v>
      </c>
      <c r="F26" s="5" t="e">
        <f>SUM(#REF!)</f>
        <v>#REF!</v>
      </c>
      <c r="G26" s="113" t="e">
        <f t="shared" si="0"/>
        <v>#REF!</v>
      </c>
      <c r="H26" s="5" t="e">
        <f>SUM(#REF!)</f>
        <v>#REF!</v>
      </c>
      <c r="I26" s="113" t="e">
        <f t="shared" si="1"/>
        <v>#REF!</v>
      </c>
      <c r="J26" s="5" t="e">
        <f>SUM(#REF!)</f>
        <v>#REF!</v>
      </c>
      <c r="K26" s="113" t="e">
        <f t="shared" si="2"/>
        <v>#REF!</v>
      </c>
      <c r="L26" s="5" t="e">
        <f>SUM(#REF!)</f>
        <v>#REF!</v>
      </c>
      <c r="M26" s="113" t="e">
        <f t="shared" si="3"/>
        <v>#REF!</v>
      </c>
      <c r="N26" s="5" t="e">
        <f>SUM(#REF!)</f>
        <v>#REF!</v>
      </c>
      <c r="O26" s="113" t="e">
        <f t="shared" si="4"/>
        <v>#REF!</v>
      </c>
      <c r="P26" s="111" t="e">
        <f>SUM(#REF!)</f>
        <v>#REF!</v>
      </c>
      <c r="Q26" s="113" t="e">
        <f t="shared" si="5"/>
        <v>#REF!</v>
      </c>
      <c r="R26" s="111" t="e">
        <f>SUM(#REF!)</f>
        <v>#REF!</v>
      </c>
      <c r="S26" s="113" t="e">
        <f t="shared" si="6"/>
        <v>#REF!</v>
      </c>
      <c r="T26" s="5" t="e">
        <f>SUM(#REF!)</f>
        <v>#REF!</v>
      </c>
      <c r="U26" s="113" t="e">
        <f t="shared" si="7"/>
        <v>#REF!</v>
      </c>
      <c r="V26" s="5" t="e">
        <f>SUM(#REF!)</f>
        <v>#REF!</v>
      </c>
      <c r="W26" s="113" t="e">
        <f t="shared" si="8"/>
        <v>#REF!</v>
      </c>
      <c r="X26" s="5" t="e">
        <f>SUM(#REF!)</f>
        <v>#REF!</v>
      </c>
      <c r="Y26" s="113" t="e">
        <f t="shared" si="9"/>
        <v>#REF!</v>
      </c>
    </row>
    <row r="27" spans="2:25" x14ac:dyDescent="0.25">
      <c r="B27" s="100" t="e">
        <f>SourceValues!#REF!</f>
        <v>#REF!</v>
      </c>
      <c r="C27" s="101" t="e">
        <f>SourceValues!#REF!</f>
        <v>#REF!</v>
      </c>
      <c r="D27" s="102" t="e">
        <f>SourceValues!#REF!</f>
        <v>#REF!</v>
      </c>
      <c r="E27" s="4" t="e">
        <f>SourceValues!#REF!</f>
        <v>#REF!</v>
      </c>
      <c r="F27" s="5" t="e">
        <f>SUM(#REF!)</f>
        <v>#REF!</v>
      </c>
      <c r="G27" s="113" t="e">
        <f t="shared" si="0"/>
        <v>#REF!</v>
      </c>
      <c r="H27" s="5" t="e">
        <f>SUM(#REF!)</f>
        <v>#REF!</v>
      </c>
      <c r="I27" s="113" t="e">
        <f t="shared" si="1"/>
        <v>#REF!</v>
      </c>
      <c r="J27" s="5" t="e">
        <f>SUM(#REF!)</f>
        <v>#REF!</v>
      </c>
      <c r="K27" s="113" t="e">
        <f t="shared" si="2"/>
        <v>#REF!</v>
      </c>
      <c r="L27" s="5" t="e">
        <f>SUM(#REF!)</f>
        <v>#REF!</v>
      </c>
      <c r="M27" s="113" t="e">
        <f t="shared" si="3"/>
        <v>#REF!</v>
      </c>
      <c r="N27" s="5" t="e">
        <f>SUM(#REF!)</f>
        <v>#REF!</v>
      </c>
      <c r="O27" s="113" t="e">
        <f t="shared" si="4"/>
        <v>#REF!</v>
      </c>
      <c r="P27" s="111" t="e">
        <f>SUM(#REF!)</f>
        <v>#REF!</v>
      </c>
      <c r="Q27" s="113" t="e">
        <f t="shared" si="5"/>
        <v>#REF!</v>
      </c>
      <c r="R27" s="111" t="e">
        <f>SUM(#REF!)</f>
        <v>#REF!</v>
      </c>
      <c r="S27" s="113" t="e">
        <f t="shared" si="6"/>
        <v>#REF!</v>
      </c>
      <c r="T27" s="5" t="e">
        <f>SUM(#REF!)</f>
        <v>#REF!</v>
      </c>
      <c r="U27" s="113" t="e">
        <f t="shared" si="7"/>
        <v>#REF!</v>
      </c>
      <c r="V27" s="5" t="e">
        <f>SUM(#REF!)</f>
        <v>#REF!</v>
      </c>
      <c r="W27" s="113" t="e">
        <f t="shared" si="8"/>
        <v>#REF!</v>
      </c>
      <c r="X27" s="5" t="e">
        <f>SUM(#REF!)</f>
        <v>#REF!</v>
      </c>
      <c r="Y27" s="113" t="e">
        <f t="shared" si="9"/>
        <v>#REF!</v>
      </c>
    </row>
    <row r="28" spans="2:25" x14ac:dyDescent="0.25">
      <c r="B28" s="100" t="e">
        <f>SourceValues!#REF!</f>
        <v>#REF!</v>
      </c>
      <c r="C28" s="101" t="e">
        <f>SourceValues!#REF!</f>
        <v>#REF!</v>
      </c>
      <c r="D28" s="102" t="e">
        <f>SourceValues!#REF!</f>
        <v>#REF!</v>
      </c>
      <c r="E28" s="4" t="e">
        <f>SourceValues!#REF!</f>
        <v>#REF!</v>
      </c>
      <c r="F28" s="5" t="e">
        <f>SUM(#REF!)</f>
        <v>#REF!</v>
      </c>
      <c r="G28" s="113" t="e">
        <f t="shared" si="0"/>
        <v>#REF!</v>
      </c>
      <c r="H28" s="5" t="e">
        <f>SUM(#REF!)</f>
        <v>#REF!</v>
      </c>
      <c r="I28" s="113" t="e">
        <f t="shared" si="1"/>
        <v>#REF!</v>
      </c>
      <c r="J28" s="5" t="e">
        <f>SUM(#REF!)</f>
        <v>#REF!</v>
      </c>
      <c r="K28" s="113" t="e">
        <f t="shared" si="2"/>
        <v>#REF!</v>
      </c>
      <c r="L28" s="5" t="e">
        <f>SUM(#REF!)</f>
        <v>#REF!</v>
      </c>
      <c r="M28" s="113" t="e">
        <f t="shared" si="3"/>
        <v>#REF!</v>
      </c>
      <c r="N28" s="5" t="e">
        <f>SUM(#REF!)</f>
        <v>#REF!</v>
      </c>
      <c r="O28" s="113" t="e">
        <f t="shared" si="4"/>
        <v>#REF!</v>
      </c>
      <c r="P28" s="111" t="e">
        <f>SUM(#REF!)</f>
        <v>#REF!</v>
      </c>
      <c r="Q28" s="113" t="e">
        <f t="shared" si="5"/>
        <v>#REF!</v>
      </c>
      <c r="R28" s="111" t="e">
        <f>SUM(#REF!)</f>
        <v>#REF!</v>
      </c>
      <c r="S28" s="113" t="e">
        <f t="shared" si="6"/>
        <v>#REF!</v>
      </c>
      <c r="T28" s="5" t="e">
        <f>SUM(#REF!)</f>
        <v>#REF!</v>
      </c>
      <c r="U28" s="113" t="e">
        <f t="shared" si="7"/>
        <v>#REF!</v>
      </c>
      <c r="V28" s="5" t="e">
        <f>SUM(#REF!)</f>
        <v>#REF!</v>
      </c>
      <c r="W28" s="113" t="e">
        <f t="shared" si="8"/>
        <v>#REF!</v>
      </c>
      <c r="X28" s="5" t="e">
        <f>SUM(#REF!)</f>
        <v>#REF!</v>
      </c>
      <c r="Y28" s="113" t="e">
        <f t="shared" si="9"/>
        <v>#REF!</v>
      </c>
    </row>
    <row r="29" spans="2:25" x14ac:dyDescent="0.25">
      <c r="B29" s="100" t="e">
        <f>SourceValues!#REF!</f>
        <v>#REF!</v>
      </c>
      <c r="C29" s="101" t="e">
        <f>SourceValues!#REF!</f>
        <v>#REF!</v>
      </c>
      <c r="D29" s="102" t="e">
        <f>SourceValues!#REF!</f>
        <v>#REF!</v>
      </c>
      <c r="E29" s="4" t="e">
        <f>SourceValues!#REF!</f>
        <v>#REF!</v>
      </c>
      <c r="F29" s="5" t="e">
        <f>SUM(#REF!)</f>
        <v>#REF!</v>
      </c>
      <c r="G29" s="113" t="e">
        <f t="shared" si="0"/>
        <v>#REF!</v>
      </c>
      <c r="H29" s="5" t="e">
        <f>SUM(#REF!)</f>
        <v>#REF!</v>
      </c>
      <c r="I29" s="113" t="e">
        <f t="shared" si="1"/>
        <v>#REF!</v>
      </c>
      <c r="J29" s="5" t="e">
        <f>SUM(#REF!)</f>
        <v>#REF!</v>
      </c>
      <c r="K29" s="113" t="e">
        <f t="shared" si="2"/>
        <v>#REF!</v>
      </c>
      <c r="L29" s="5" t="e">
        <f>SUM(#REF!)</f>
        <v>#REF!</v>
      </c>
      <c r="M29" s="113" t="e">
        <f t="shared" si="3"/>
        <v>#REF!</v>
      </c>
      <c r="N29" s="5" t="e">
        <f>SUM(#REF!)</f>
        <v>#REF!</v>
      </c>
      <c r="O29" s="113" t="e">
        <f t="shared" si="4"/>
        <v>#REF!</v>
      </c>
      <c r="P29" s="111" t="e">
        <f>SUM(#REF!)</f>
        <v>#REF!</v>
      </c>
      <c r="Q29" s="113" t="e">
        <f t="shared" si="5"/>
        <v>#REF!</v>
      </c>
      <c r="R29" s="111" t="e">
        <f>SUM(#REF!)</f>
        <v>#REF!</v>
      </c>
      <c r="S29" s="113" t="e">
        <f t="shared" si="6"/>
        <v>#REF!</v>
      </c>
      <c r="T29" s="5" t="e">
        <f>SUM(#REF!)</f>
        <v>#REF!</v>
      </c>
      <c r="U29" s="113" t="e">
        <f t="shared" si="7"/>
        <v>#REF!</v>
      </c>
      <c r="V29" s="5" t="e">
        <f>SUM(#REF!)</f>
        <v>#REF!</v>
      </c>
      <c r="W29" s="113" t="e">
        <f t="shared" si="8"/>
        <v>#REF!</v>
      </c>
      <c r="X29" s="5" t="e">
        <f>SUM(#REF!)</f>
        <v>#REF!</v>
      </c>
      <c r="Y29" s="113" t="e">
        <f t="shared" si="9"/>
        <v>#REF!</v>
      </c>
    </row>
    <row r="30" spans="2:25" x14ac:dyDescent="0.25">
      <c r="B30" s="100" t="e">
        <f>SourceValues!#REF!</f>
        <v>#REF!</v>
      </c>
      <c r="C30" s="101" t="e">
        <f>SourceValues!#REF!</f>
        <v>#REF!</v>
      </c>
      <c r="D30" s="102" t="e">
        <f>SourceValues!#REF!</f>
        <v>#REF!</v>
      </c>
      <c r="E30" s="4" t="e">
        <f>SourceValues!#REF!</f>
        <v>#REF!</v>
      </c>
      <c r="F30" s="5" t="e">
        <f>SUM(#REF!)</f>
        <v>#REF!</v>
      </c>
      <c r="G30" s="113" t="e">
        <f t="shared" si="0"/>
        <v>#REF!</v>
      </c>
      <c r="H30" s="5" t="e">
        <f>SUM(#REF!)</f>
        <v>#REF!</v>
      </c>
      <c r="I30" s="113" t="e">
        <f t="shared" si="1"/>
        <v>#REF!</v>
      </c>
      <c r="J30" s="5" t="e">
        <f>SUM(#REF!)</f>
        <v>#REF!</v>
      </c>
      <c r="K30" s="113" t="e">
        <f t="shared" si="2"/>
        <v>#REF!</v>
      </c>
      <c r="L30" s="5" t="e">
        <f>SUM(#REF!)</f>
        <v>#REF!</v>
      </c>
      <c r="M30" s="113" t="e">
        <f t="shared" si="3"/>
        <v>#REF!</v>
      </c>
      <c r="N30" s="5" t="e">
        <f>SUM(#REF!)</f>
        <v>#REF!</v>
      </c>
      <c r="O30" s="113" t="e">
        <f t="shared" si="4"/>
        <v>#REF!</v>
      </c>
      <c r="P30" s="111" t="e">
        <f>SUM(#REF!)</f>
        <v>#REF!</v>
      </c>
      <c r="Q30" s="113" t="e">
        <f t="shared" si="5"/>
        <v>#REF!</v>
      </c>
      <c r="R30" s="111" t="e">
        <f>SUM(#REF!)</f>
        <v>#REF!</v>
      </c>
      <c r="S30" s="113" t="e">
        <f t="shared" si="6"/>
        <v>#REF!</v>
      </c>
      <c r="T30" s="5" t="e">
        <f>SUM(#REF!)</f>
        <v>#REF!</v>
      </c>
      <c r="U30" s="113" t="e">
        <f t="shared" si="7"/>
        <v>#REF!</v>
      </c>
      <c r="V30" s="5" t="e">
        <f>SUM(#REF!)</f>
        <v>#REF!</v>
      </c>
      <c r="W30" s="113" t="e">
        <f t="shared" si="8"/>
        <v>#REF!</v>
      </c>
      <c r="X30" s="5" t="e">
        <f>SUM(#REF!)</f>
        <v>#REF!</v>
      </c>
      <c r="Y30" s="113" t="e">
        <f t="shared" si="9"/>
        <v>#REF!</v>
      </c>
    </row>
    <row r="31" spans="2:25" x14ac:dyDescent="0.25">
      <c r="B31" s="100" t="e">
        <f>SourceValues!#REF!</f>
        <v>#REF!</v>
      </c>
      <c r="C31" s="101" t="e">
        <f>SourceValues!#REF!</f>
        <v>#REF!</v>
      </c>
      <c r="D31" s="102" t="e">
        <f>SourceValues!#REF!</f>
        <v>#REF!</v>
      </c>
      <c r="E31" s="4" t="e">
        <f>SourceValues!#REF!</f>
        <v>#REF!</v>
      </c>
      <c r="F31" s="5" t="e">
        <f>SUM(#REF!)</f>
        <v>#REF!</v>
      </c>
      <c r="G31" s="113" t="e">
        <f t="shared" si="0"/>
        <v>#REF!</v>
      </c>
      <c r="H31" s="5" t="e">
        <f>SUM(#REF!)</f>
        <v>#REF!</v>
      </c>
      <c r="I31" s="113" t="e">
        <f t="shared" si="1"/>
        <v>#REF!</v>
      </c>
      <c r="J31" s="5" t="e">
        <f>SUM(#REF!)</f>
        <v>#REF!</v>
      </c>
      <c r="K31" s="113" t="e">
        <f t="shared" si="2"/>
        <v>#REF!</v>
      </c>
      <c r="L31" s="5" t="e">
        <f>SUM(#REF!)</f>
        <v>#REF!</v>
      </c>
      <c r="M31" s="113" t="e">
        <f t="shared" si="3"/>
        <v>#REF!</v>
      </c>
      <c r="N31" s="5" t="e">
        <f>SUM(#REF!)</f>
        <v>#REF!</v>
      </c>
      <c r="O31" s="113" t="e">
        <f t="shared" si="4"/>
        <v>#REF!</v>
      </c>
      <c r="P31" s="111" t="e">
        <f>SUM(#REF!)</f>
        <v>#REF!</v>
      </c>
      <c r="Q31" s="113" t="e">
        <f t="shared" si="5"/>
        <v>#REF!</v>
      </c>
      <c r="R31" s="111" t="e">
        <f>SUM(#REF!)</f>
        <v>#REF!</v>
      </c>
      <c r="S31" s="113" t="e">
        <f t="shared" si="6"/>
        <v>#REF!</v>
      </c>
      <c r="T31" s="5" t="e">
        <f>SUM(#REF!)</f>
        <v>#REF!</v>
      </c>
      <c r="U31" s="113" t="e">
        <f t="shared" si="7"/>
        <v>#REF!</v>
      </c>
      <c r="V31" s="5" t="e">
        <f>SUM(#REF!)</f>
        <v>#REF!</v>
      </c>
      <c r="W31" s="113" t="e">
        <f t="shared" si="8"/>
        <v>#REF!</v>
      </c>
      <c r="X31" s="5" t="e">
        <f>SUM(#REF!)</f>
        <v>#REF!</v>
      </c>
      <c r="Y31" s="113" t="e">
        <f t="shared" si="9"/>
        <v>#REF!</v>
      </c>
    </row>
    <row r="32" spans="2:25" x14ac:dyDescent="0.25">
      <c r="B32" s="100" t="e">
        <f>SourceValues!#REF!</f>
        <v>#REF!</v>
      </c>
      <c r="C32" s="101" t="e">
        <f>SourceValues!#REF!</f>
        <v>#REF!</v>
      </c>
      <c r="D32" s="102" t="e">
        <f>SourceValues!#REF!</f>
        <v>#REF!</v>
      </c>
      <c r="E32" s="4" t="e">
        <f>SourceValues!#REF!</f>
        <v>#REF!</v>
      </c>
      <c r="F32" s="5" t="e">
        <f>SUM(#REF!)</f>
        <v>#REF!</v>
      </c>
      <c r="G32" s="113" t="e">
        <f t="shared" si="0"/>
        <v>#REF!</v>
      </c>
      <c r="H32" s="5" t="e">
        <f>SUM(#REF!)</f>
        <v>#REF!</v>
      </c>
      <c r="I32" s="113" t="e">
        <f t="shared" si="1"/>
        <v>#REF!</v>
      </c>
      <c r="J32" s="5" t="e">
        <f>SUM(#REF!)</f>
        <v>#REF!</v>
      </c>
      <c r="K32" s="113" t="e">
        <f t="shared" si="2"/>
        <v>#REF!</v>
      </c>
      <c r="L32" s="5" t="e">
        <f>SUM(#REF!)</f>
        <v>#REF!</v>
      </c>
      <c r="M32" s="113" t="e">
        <f t="shared" si="3"/>
        <v>#REF!</v>
      </c>
      <c r="N32" s="5" t="e">
        <f>SUM(#REF!)</f>
        <v>#REF!</v>
      </c>
      <c r="O32" s="113" t="e">
        <f t="shared" si="4"/>
        <v>#REF!</v>
      </c>
      <c r="P32" s="111" t="e">
        <f>SUM(#REF!)</f>
        <v>#REF!</v>
      </c>
      <c r="Q32" s="113" t="e">
        <f t="shared" si="5"/>
        <v>#REF!</v>
      </c>
      <c r="R32" s="111" t="e">
        <f>SUM(#REF!)</f>
        <v>#REF!</v>
      </c>
      <c r="S32" s="113" t="e">
        <f t="shared" si="6"/>
        <v>#REF!</v>
      </c>
      <c r="T32" s="5" t="e">
        <f>SUM(#REF!)</f>
        <v>#REF!</v>
      </c>
      <c r="U32" s="113" t="e">
        <f t="shared" si="7"/>
        <v>#REF!</v>
      </c>
      <c r="V32" s="5" t="e">
        <f>SUM(#REF!)</f>
        <v>#REF!</v>
      </c>
      <c r="W32" s="113" t="e">
        <f t="shared" si="8"/>
        <v>#REF!</v>
      </c>
      <c r="X32" s="5" t="e">
        <f>SUM(#REF!)</f>
        <v>#REF!</v>
      </c>
      <c r="Y32" s="113" t="e">
        <f t="shared" si="9"/>
        <v>#REF!</v>
      </c>
    </row>
    <row r="33" spans="2:25" x14ac:dyDescent="0.25">
      <c r="B33" s="100" t="e">
        <f>SourceValues!#REF!</f>
        <v>#REF!</v>
      </c>
      <c r="C33" s="101" t="e">
        <f>SourceValues!#REF!</f>
        <v>#REF!</v>
      </c>
      <c r="D33" s="102" t="e">
        <f>SourceValues!#REF!</f>
        <v>#REF!</v>
      </c>
      <c r="E33" s="4" t="e">
        <f>SourceValues!#REF!</f>
        <v>#REF!</v>
      </c>
      <c r="F33" s="5" t="e">
        <f>SUM(#REF!)</f>
        <v>#REF!</v>
      </c>
      <c r="G33" s="113" t="e">
        <f t="shared" si="0"/>
        <v>#REF!</v>
      </c>
      <c r="H33" s="5" t="e">
        <f>SUM(#REF!)</f>
        <v>#REF!</v>
      </c>
      <c r="I33" s="113" t="e">
        <f t="shared" si="1"/>
        <v>#REF!</v>
      </c>
      <c r="J33" s="5" t="e">
        <f>SUM(#REF!)</f>
        <v>#REF!</v>
      </c>
      <c r="K33" s="113" t="e">
        <f t="shared" si="2"/>
        <v>#REF!</v>
      </c>
      <c r="L33" s="5" t="e">
        <f>SUM(#REF!)</f>
        <v>#REF!</v>
      </c>
      <c r="M33" s="113" t="e">
        <f t="shared" si="3"/>
        <v>#REF!</v>
      </c>
      <c r="N33" s="5" t="e">
        <f>SUM(#REF!)</f>
        <v>#REF!</v>
      </c>
      <c r="O33" s="113" t="e">
        <f t="shared" si="4"/>
        <v>#REF!</v>
      </c>
      <c r="P33" s="111" t="e">
        <f>SUM(#REF!)</f>
        <v>#REF!</v>
      </c>
      <c r="Q33" s="113" t="e">
        <f t="shared" si="5"/>
        <v>#REF!</v>
      </c>
      <c r="R33" s="111" t="e">
        <f>SUM(#REF!)</f>
        <v>#REF!</v>
      </c>
      <c r="S33" s="113" t="e">
        <f t="shared" si="6"/>
        <v>#REF!</v>
      </c>
      <c r="T33" s="5" t="e">
        <f>SUM(#REF!)</f>
        <v>#REF!</v>
      </c>
      <c r="U33" s="113" t="e">
        <f t="shared" si="7"/>
        <v>#REF!</v>
      </c>
      <c r="V33" s="5" t="e">
        <f>SUM(#REF!)</f>
        <v>#REF!</v>
      </c>
      <c r="W33" s="113" t="e">
        <f t="shared" si="8"/>
        <v>#REF!</v>
      </c>
      <c r="X33" s="5" t="e">
        <f>SUM(#REF!)</f>
        <v>#REF!</v>
      </c>
      <c r="Y33" s="113" t="e">
        <f t="shared" si="9"/>
        <v>#REF!</v>
      </c>
    </row>
    <row r="34" spans="2:25" x14ac:dyDescent="0.25">
      <c r="B34" s="100" t="e">
        <f>SourceValues!#REF!</f>
        <v>#REF!</v>
      </c>
      <c r="C34" s="101" t="e">
        <f>SourceValues!#REF!</f>
        <v>#REF!</v>
      </c>
      <c r="D34" s="102" t="e">
        <f>SourceValues!#REF!</f>
        <v>#REF!</v>
      </c>
      <c r="E34" s="4" t="e">
        <f>SourceValues!#REF!</f>
        <v>#REF!</v>
      </c>
      <c r="F34" s="5" t="e">
        <f>SUM(#REF!)</f>
        <v>#REF!</v>
      </c>
      <c r="G34" s="113" t="e">
        <f t="shared" si="0"/>
        <v>#REF!</v>
      </c>
      <c r="H34" s="5" t="e">
        <f>SUM(#REF!)</f>
        <v>#REF!</v>
      </c>
      <c r="I34" s="113" t="e">
        <f t="shared" si="1"/>
        <v>#REF!</v>
      </c>
      <c r="J34" s="5" t="e">
        <f>SUM(#REF!)</f>
        <v>#REF!</v>
      </c>
      <c r="K34" s="113" t="e">
        <f t="shared" si="2"/>
        <v>#REF!</v>
      </c>
      <c r="L34" s="5" t="e">
        <f>SUM(#REF!)</f>
        <v>#REF!</v>
      </c>
      <c r="M34" s="113" t="e">
        <f t="shared" si="3"/>
        <v>#REF!</v>
      </c>
      <c r="N34" s="5" t="e">
        <f>SUM(#REF!)</f>
        <v>#REF!</v>
      </c>
      <c r="O34" s="113" t="e">
        <f t="shared" si="4"/>
        <v>#REF!</v>
      </c>
      <c r="P34" s="111" t="e">
        <f>SUM(#REF!)</f>
        <v>#REF!</v>
      </c>
      <c r="Q34" s="113" t="e">
        <f t="shared" si="5"/>
        <v>#REF!</v>
      </c>
      <c r="R34" s="111" t="e">
        <f>SUM(#REF!)</f>
        <v>#REF!</v>
      </c>
      <c r="S34" s="113" t="e">
        <f t="shared" si="6"/>
        <v>#REF!</v>
      </c>
      <c r="T34" s="5" t="e">
        <f>SUM(#REF!)</f>
        <v>#REF!</v>
      </c>
      <c r="U34" s="113" t="e">
        <f t="shared" si="7"/>
        <v>#REF!</v>
      </c>
      <c r="V34" s="5" t="e">
        <f>SUM(#REF!)</f>
        <v>#REF!</v>
      </c>
      <c r="W34" s="113" t="e">
        <f t="shared" si="8"/>
        <v>#REF!</v>
      </c>
      <c r="X34" s="5" t="e">
        <f>SUM(#REF!)</f>
        <v>#REF!</v>
      </c>
      <c r="Y34" s="113" t="e">
        <f t="shared" si="9"/>
        <v>#REF!</v>
      </c>
    </row>
    <row r="35" spans="2:25" x14ac:dyDescent="0.25">
      <c r="B35" s="100" t="e">
        <f>SourceValues!#REF!</f>
        <v>#REF!</v>
      </c>
      <c r="C35" s="101" t="e">
        <f>SourceValues!#REF!</f>
        <v>#REF!</v>
      </c>
      <c r="D35" s="102" t="e">
        <f>SourceValues!#REF!</f>
        <v>#REF!</v>
      </c>
      <c r="E35" s="4" t="e">
        <f>SourceValues!#REF!</f>
        <v>#REF!</v>
      </c>
      <c r="F35" s="5" t="e">
        <f>SUM(#REF!)</f>
        <v>#REF!</v>
      </c>
      <c r="G35" s="113" t="e">
        <f t="shared" si="0"/>
        <v>#REF!</v>
      </c>
      <c r="H35" s="5" t="e">
        <f>SUM(#REF!)</f>
        <v>#REF!</v>
      </c>
      <c r="I35" s="113" t="e">
        <f t="shared" si="1"/>
        <v>#REF!</v>
      </c>
      <c r="J35" s="5" t="e">
        <f>SUM(#REF!)</f>
        <v>#REF!</v>
      </c>
      <c r="K35" s="113" t="e">
        <f t="shared" si="2"/>
        <v>#REF!</v>
      </c>
      <c r="L35" s="5" t="e">
        <f>SUM(#REF!)</f>
        <v>#REF!</v>
      </c>
      <c r="M35" s="113" t="e">
        <f t="shared" si="3"/>
        <v>#REF!</v>
      </c>
      <c r="N35" s="5" t="e">
        <f>SUM(#REF!)</f>
        <v>#REF!</v>
      </c>
      <c r="O35" s="113" t="e">
        <f t="shared" si="4"/>
        <v>#REF!</v>
      </c>
      <c r="P35" s="111" t="e">
        <f>SUM(#REF!)</f>
        <v>#REF!</v>
      </c>
      <c r="Q35" s="113" t="e">
        <f t="shared" si="5"/>
        <v>#REF!</v>
      </c>
      <c r="R35" s="111" t="e">
        <f>SUM(#REF!)</f>
        <v>#REF!</v>
      </c>
      <c r="S35" s="113" t="e">
        <f t="shared" si="6"/>
        <v>#REF!</v>
      </c>
      <c r="T35" s="5" t="e">
        <f>SUM(#REF!)</f>
        <v>#REF!</v>
      </c>
      <c r="U35" s="113" t="e">
        <f t="shared" si="7"/>
        <v>#REF!</v>
      </c>
      <c r="V35" s="5" t="e">
        <f>SUM(#REF!)</f>
        <v>#REF!</v>
      </c>
      <c r="W35" s="113" t="e">
        <f t="shared" si="8"/>
        <v>#REF!</v>
      </c>
      <c r="X35" s="5" t="e">
        <f>SUM(#REF!)</f>
        <v>#REF!</v>
      </c>
      <c r="Y35" s="113" t="e">
        <f t="shared" si="9"/>
        <v>#REF!</v>
      </c>
    </row>
    <row r="36" spans="2:25" x14ac:dyDescent="0.25">
      <c r="B36" s="100" t="e">
        <f>SourceValues!#REF!</f>
        <v>#REF!</v>
      </c>
      <c r="C36" s="101" t="e">
        <f>SourceValues!#REF!</f>
        <v>#REF!</v>
      </c>
      <c r="D36" s="102" t="e">
        <f>SourceValues!#REF!</f>
        <v>#REF!</v>
      </c>
      <c r="E36" s="4" t="e">
        <f>SourceValues!#REF!</f>
        <v>#REF!</v>
      </c>
      <c r="F36" s="5" t="e">
        <f>SUM(#REF!)</f>
        <v>#REF!</v>
      </c>
      <c r="G36" s="113" t="e">
        <f t="shared" si="0"/>
        <v>#REF!</v>
      </c>
      <c r="H36" s="5" t="e">
        <f>SUM(#REF!)</f>
        <v>#REF!</v>
      </c>
      <c r="I36" s="113" t="e">
        <f t="shared" si="1"/>
        <v>#REF!</v>
      </c>
      <c r="J36" s="5" t="e">
        <f>SUM(#REF!)</f>
        <v>#REF!</v>
      </c>
      <c r="K36" s="113" t="e">
        <f t="shared" si="2"/>
        <v>#REF!</v>
      </c>
      <c r="L36" s="5" t="e">
        <f>SUM(#REF!)</f>
        <v>#REF!</v>
      </c>
      <c r="M36" s="113" t="e">
        <f t="shared" si="3"/>
        <v>#REF!</v>
      </c>
      <c r="N36" s="5" t="e">
        <f>SUM(#REF!)</f>
        <v>#REF!</v>
      </c>
      <c r="O36" s="113" t="e">
        <f t="shared" si="4"/>
        <v>#REF!</v>
      </c>
      <c r="P36" s="111" t="e">
        <f>SUM(#REF!)</f>
        <v>#REF!</v>
      </c>
      <c r="Q36" s="113" t="e">
        <f t="shared" si="5"/>
        <v>#REF!</v>
      </c>
      <c r="R36" s="111" t="e">
        <f>SUM(#REF!)</f>
        <v>#REF!</v>
      </c>
      <c r="S36" s="113" t="e">
        <f t="shared" si="6"/>
        <v>#REF!</v>
      </c>
      <c r="T36" s="5" t="e">
        <f>SUM(#REF!)</f>
        <v>#REF!</v>
      </c>
      <c r="U36" s="113" t="e">
        <f t="shared" si="7"/>
        <v>#REF!</v>
      </c>
      <c r="V36" s="5" t="e">
        <f>SUM(#REF!)</f>
        <v>#REF!</v>
      </c>
      <c r="W36" s="113" t="e">
        <f t="shared" si="8"/>
        <v>#REF!</v>
      </c>
      <c r="X36" s="5" t="e">
        <f>SUM(#REF!)</f>
        <v>#REF!</v>
      </c>
      <c r="Y36" s="113" t="e">
        <f t="shared" si="9"/>
        <v>#REF!</v>
      </c>
    </row>
    <row r="37" spans="2:25" x14ac:dyDescent="0.25">
      <c r="B37" s="100" t="e">
        <f>SourceValues!#REF!</f>
        <v>#REF!</v>
      </c>
      <c r="C37" s="101" t="e">
        <f>SourceValues!#REF!</f>
        <v>#REF!</v>
      </c>
      <c r="D37" s="102" t="e">
        <f>SourceValues!#REF!</f>
        <v>#REF!</v>
      </c>
      <c r="E37" s="4" t="e">
        <f>SourceValues!#REF!</f>
        <v>#REF!</v>
      </c>
      <c r="F37" s="5" t="e">
        <f>SUM(#REF!)</f>
        <v>#REF!</v>
      </c>
      <c r="G37" s="113" t="e">
        <f t="shared" si="0"/>
        <v>#REF!</v>
      </c>
      <c r="H37" s="5" t="e">
        <f>SUM(#REF!)</f>
        <v>#REF!</v>
      </c>
      <c r="I37" s="113" t="e">
        <f t="shared" si="1"/>
        <v>#REF!</v>
      </c>
      <c r="J37" s="5" t="e">
        <f>SUM(#REF!)</f>
        <v>#REF!</v>
      </c>
      <c r="K37" s="113" t="e">
        <f t="shared" si="2"/>
        <v>#REF!</v>
      </c>
      <c r="L37" s="5" t="e">
        <f>SUM(#REF!)</f>
        <v>#REF!</v>
      </c>
      <c r="M37" s="113" t="e">
        <f t="shared" si="3"/>
        <v>#REF!</v>
      </c>
      <c r="N37" s="5" t="e">
        <f>SUM(#REF!)</f>
        <v>#REF!</v>
      </c>
      <c r="O37" s="113" t="e">
        <f t="shared" si="4"/>
        <v>#REF!</v>
      </c>
      <c r="P37" s="111" t="e">
        <f>SUM(#REF!)</f>
        <v>#REF!</v>
      </c>
      <c r="Q37" s="113" t="e">
        <f t="shared" si="5"/>
        <v>#REF!</v>
      </c>
      <c r="R37" s="111" t="e">
        <f>SUM(#REF!)</f>
        <v>#REF!</v>
      </c>
      <c r="S37" s="113" t="e">
        <f t="shared" si="6"/>
        <v>#REF!</v>
      </c>
      <c r="T37" s="5" t="e">
        <f>SUM(#REF!)</f>
        <v>#REF!</v>
      </c>
      <c r="U37" s="113" t="e">
        <f t="shared" si="7"/>
        <v>#REF!</v>
      </c>
      <c r="V37" s="5" t="e">
        <f>SUM(#REF!)</f>
        <v>#REF!</v>
      </c>
      <c r="W37" s="113" t="e">
        <f t="shared" si="8"/>
        <v>#REF!</v>
      </c>
      <c r="X37" s="5" t="e">
        <f>SUM(#REF!)</f>
        <v>#REF!</v>
      </c>
      <c r="Y37" s="113" t="e">
        <f t="shared" si="9"/>
        <v>#REF!</v>
      </c>
    </row>
    <row r="38" spans="2:25" x14ac:dyDescent="0.25">
      <c r="B38" s="100" t="e">
        <f>SourceValues!#REF!</f>
        <v>#REF!</v>
      </c>
      <c r="C38" s="101" t="e">
        <f>SourceValues!#REF!</f>
        <v>#REF!</v>
      </c>
      <c r="D38" s="102" t="e">
        <f>SourceValues!#REF!</f>
        <v>#REF!</v>
      </c>
      <c r="E38" s="4" t="e">
        <f>SourceValues!#REF!</f>
        <v>#REF!</v>
      </c>
      <c r="F38" s="5" t="e">
        <f>SUM(#REF!)</f>
        <v>#REF!</v>
      </c>
      <c r="G38" s="113" t="e">
        <f t="shared" si="0"/>
        <v>#REF!</v>
      </c>
      <c r="H38" s="5" t="e">
        <f>SUM(#REF!)</f>
        <v>#REF!</v>
      </c>
      <c r="I38" s="113" t="e">
        <f t="shared" si="1"/>
        <v>#REF!</v>
      </c>
      <c r="J38" s="5" t="e">
        <f>SUM(#REF!)</f>
        <v>#REF!</v>
      </c>
      <c r="K38" s="113" t="e">
        <f t="shared" si="2"/>
        <v>#REF!</v>
      </c>
      <c r="L38" s="5" t="e">
        <f>SUM(#REF!)</f>
        <v>#REF!</v>
      </c>
      <c r="M38" s="113" t="e">
        <f t="shared" si="3"/>
        <v>#REF!</v>
      </c>
      <c r="N38" s="5" t="e">
        <f>SUM(#REF!)</f>
        <v>#REF!</v>
      </c>
      <c r="O38" s="113" t="e">
        <f t="shared" si="4"/>
        <v>#REF!</v>
      </c>
      <c r="P38" s="111" t="e">
        <f>SUM(#REF!)</f>
        <v>#REF!</v>
      </c>
      <c r="Q38" s="113" t="e">
        <f t="shared" si="5"/>
        <v>#REF!</v>
      </c>
      <c r="R38" s="111" t="e">
        <f>SUM(#REF!)</f>
        <v>#REF!</v>
      </c>
      <c r="S38" s="113" t="e">
        <f t="shared" si="6"/>
        <v>#REF!</v>
      </c>
      <c r="T38" s="5" t="e">
        <f>SUM(#REF!)</f>
        <v>#REF!</v>
      </c>
      <c r="U38" s="113" t="e">
        <f t="shared" si="7"/>
        <v>#REF!</v>
      </c>
      <c r="V38" s="5" t="e">
        <f>SUM(#REF!)</f>
        <v>#REF!</v>
      </c>
      <c r="W38" s="113" t="e">
        <f t="shared" si="8"/>
        <v>#REF!</v>
      </c>
      <c r="X38" s="5" t="e">
        <f>SUM(#REF!)</f>
        <v>#REF!</v>
      </c>
      <c r="Y38" s="113" t="e">
        <f t="shared" si="9"/>
        <v>#REF!</v>
      </c>
    </row>
    <row r="39" spans="2:25" x14ac:dyDescent="0.25">
      <c r="B39" s="100" t="e">
        <f>SourceValues!#REF!</f>
        <v>#REF!</v>
      </c>
      <c r="C39" s="101" t="e">
        <f>SourceValues!#REF!</f>
        <v>#REF!</v>
      </c>
      <c r="D39" s="102" t="e">
        <f>SourceValues!#REF!</f>
        <v>#REF!</v>
      </c>
      <c r="E39" s="4" t="e">
        <f>SourceValues!#REF!</f>
        <v>#REF!</v>
      </c>
      <c r="F39" s="5" t="e">
        <f>SUM(#REF!)</f>
        <v>#REF!</v>
      </c>
      <c r="G39" s="113" t="e">
        <f t="shared" si="0"/>
        <v>#REF!</v>
      </c>
      <c r="H39" s="5" t="e">
        <f>SUM(#REF!)</f>
        <v>#REF!</v>
      </c>
      <c r="I39" s="113" t="e">
        <f t="shared" si="1"/>
        <v>#REF!</v>
      </c>
      <c r="J39" s="5" t="e">
        <f>SUM(#REF!)</f>
        <v>#REF!</v>
      </c>
      <c r="K39" s="113" t="e">
        <f t="shared" si="2"/>
        <v>#REF!</v>
      </c>
      <c r="L39" s="5" t="e">
        <f>SUM(#REF!)</f>
        <v>#REF!</v>
      </c>
      <c r="M39" s="113" t="e">
        <f t="shared" si="3"/>
        <v>#REF!</v>
      </c>
      <c r="N39" s="5" t="e">
        <f>SUM(#REF!)</f>
        <v>#REF!</v>
      </c>
      <c r="O39" s="113" t="e">
        <f t="shared" si="4"/>
        <v>#REF!</v>
      </c>
      <c r="P39" s="111" t="e">
        <f>SUM(#REF!)</f>
        <v>#REF!</v>
      </c>
      <c r="Q39" s="113" t="e">
        <f t="shared" si="5"/>
        <v>#REF!</v>
      </c>
      <c r="R39" s="111" t="e">
        <f>SUM(#REF!)</f>
        <v>#REF!</v>
      </c>
      <c r="S39" s="113" t="e">
        <f t="shared" si="6"/>
        <v>#REF!</v>
      </c>
      <c r="T39" s="5" t="e">
        <f>SUM(#REF!)</f>
        <v>#REF!</v>
      </c>
      <c r="U39" s="113" t="e">
        <f t="shared" si="7"/>
        <v>#REF!</v>
      </c>
      <c r="V39" s="5" t="e">
        <f>SUM(#REF!)</f>
        <v>#REF!</v>
      </c>
      <c r="W39" s="113" t="e">
        <f t="shared" si="8"/>
        <v>#REF!</v>
      </c>
      <c r="X39" s="5" t="e">
        <f>SUM(#REF!)</f>
        <v>#REF!</v>
      </c>
      <c r="Y39" s="113" t="e">
        <f t="shared" si="9"/>
        <v>#REF!</v>
      </c>
    </row>
    <row r="40" spans="2:25" x14ac:dyDescent="0.25">
      <c r="B40" s="100" t="e">
        <f>SourceValues!#REF!</f>
        <v>#REF!</v>
      </c>
      <c r="C40" s="101" t="e">
        <f>SourceValues!#REF!</f>
        <v>#REF!</v>
      </c>
      <c r="D40" s="102" t="e">
        <f>SourceValues!#REF!</f>
        <v>#REF!</v>
      </c>
      <c r="E40" s="4" t="e">
        <f>SourceValues!#REF!</f>
        <v>#REF!</v>
      </c>
      <c r="F40" s="5" t="e">
        <f>SUM(#REF!)</f>
        <v>#REF!</v>
      </c>
      <c r="G40" s="113" t="e">
        <f t="shared" si="0"/>
        <v>#REF!</v>
      </c>
      <c r="H40" s="5" t="e">
        <f>SUM(#REF!)</f>
        <v>#REF!</v>
      </c>
      <c r="I40" s="113" t="e">
        <f t="shared" si="1"/>
        <v>#REF!</v>
      </c>
      <c r="J40" s="5" t="e">
        <f>SUM(#REF!)</f>
        <v>#REF!</v>
      </c>
      <c r="K40" s="113" t="e">
        <f t="shared" si="2"/>
        <v>#REF!</v>
      </c>
      <c r="L40" s="5" t="e">
        <f>SUM(#REF!)</f>
        <v>#REF!</v>
      </c>
      <c r="M40" s="113" t="e">
        <f t="shared" si="3"/>
        <v>#REF!</v>
      </c>
      <c r="N40" s="5" t="e">
        <f>SUM(#REF!)</f>
        <v>#REF!</v>
      </c>
      <c r="O40" s="113" t="e">
        <f t="shared" si="4"/>
        <v>#REF!</v>
      </c>
      <c r="P40" s="111" t="e">
        <f>SUM(#REF!)</f>
        <v>#REF!</v>
      </c>
      <c r="Q40" s="113" t="e">
        <f t="shared" si="5"/>
        <v>#REF!</v>
      </c>
      <c r="R40" s="111" t="e">
        <f>SUM(#REF!)</f>
        <v>#REF!</v>
      </c>
      <c r="S40" s="113" t="e">
        <f t="shared" si="6"/>
        <v>#REF!</v>
      </c>
      <c r="T40" s="5" t="e">
        <f>SUM(#REF!)</f>
        <v>#REF!</v>
      </c>
      <c r="U40" s="113" t="e">
        <f t="shared" si="7"/>
        <v>#REF!</v>
      </c>
      <c r="V40" s="5" t="e">
        <f>SUM(#REF!)</f>
        <v>#REF!</v>
      </c>
      <c r="W40" s="113" t="e">
        <f t="shared" si="8"/>
        <v>#REF!</v>
      </c>
      <c r="X40" s="5" t="e">
        <f>SUM(#REF!)</f>
        <v>#REF!</v>
      </c>
      <c r="Y40" s="113" t="e">
        <f t="shared" si="9"/>
        <v>#REF!</v>
      </c>
    </row>
    <row r="41" spans="2:25" x14ac:dyDescent="0.25">
      <c r="B41" s="100" t="e">
        <f>SourceValues!#REF!</f>
        <v>#REF!</v>
      </c>
      <c r="C41" s="101" t="e">
        <f>SourceValues!#REF!</f>
        <v>#REF!</v>
      </c>
      <c r="D41" s="102" t="e">
        <f>SourceValues!#REF!</f>
        <v>#REF!</v>
      </c>
      <c r="E41" s="4" t="e">
        <f>SourceValues!#REF!</f>
        <v>#REF!</v>
      </c>
      <c r="F41" s="5" t="e">
        <f>SUM(#REF!)</f>
        <v>#REF!</v>
      </c>
      <c r="G41" s="113" t="e">
        <f t="shared" si="0"/>
        <v>#REF!</v>
      </c>
      <c r="H41" s="5" t="e">
        <f>SUM(#REF!)</f>
        <v>#REF!</v>
      </c>
      <c r="I41" s="113" t="e">
        <f t="shared" si="1"/>
        <v>#REF!</v>
      </c>
      <c r="J41" s="5" t="e">
        <f>SUM(#REF!)</f>
        <v>#REF!</v>
      </c>
      <c r="K41" s="113" t="e">
        <f t="shared" si="2"/>
        <v>#REF!</v>
      </c>
      <c r="L41" s="5" t="e">
        <f>SUM(#REF!)</f>
        <v>#REF!</v>
      </c>
      <c r="M41" s="113" t="e">
        <f t="shared" si="3"/>
        <v>#REF!</v>
      </c>
      <c r="N41" s="5" t="e">
        <f>SUM(#REF!)</f>
        <v>#REF!</v>
      </c>
      <c r="O41" s="113" t="e">
        <f t="shared" si="4"/>
        <v>#REF!</v>
      </c>
      <c r="P41" s="111" t="e">
        <f>SUM(#REF!)</f>
        <v>#REF!</v>
      </c>
      <c r="Q41" s="113" t="e">
        <f t="shared" si="5"/>
        <v>#REF!</v>
      </c>
      <c r="R41" s="111" t="e">
        <f>SUM(#REF!)</f>
        <v>#REF!</v>
      </c>
      <c r="S41" s="113" t="e">
        <f t="shared" si="6"/>
        <v>#REF!</v>
      </c>
      <c r="T41" s="5" t="e">
        <f>SUM(#REF!)</f>
        <v>#REF!</v>
      </c>
      <c r="U41" s="113" t="e">
        <f t="shared" si="7"/>
        <v>#REF!</v>
      </c>
      <c r="V41" s="5" t="e">
        <f>SUM(#REF!)</f>
        <v>#REF!</v>
      </c>
      <c r="W41" s="113" t="e">
        <f t="shared" si="8"/>
        <v>#REF!</v>
      </c>
      <c r="X41" s="5" t="e">
        <f>SUM(#REF!)</f>
        <v>#REF!</v>
      </c>
      <c r="Y41" s="113" t="e">
        <f t="shared" si="9"/>
        <v>#REF!</v>
      </c>
    </row>
    <row r="42" spans="2:25" x14ac:dyDescent="0.25">
      <c r="B42" s="100" t="e">
        <f>SourceValues!#REF!</f>
        <v>#REF!</v>
      </c>
      <c r="C42" s="101" t="e">
        <f>SourceValues!#REF!</f>
        <v>#REF!</v>
      </c>
      <c r="D42" s="102" t="e">
        <f>SourceValues!#REF!</f>
        <v>#REF!</v>
      </c>
      <c r="E42" s="4" t="e">
        <f>SourceValues!#REF!</f>
        <v>#REF!</v>
      </c>
      <c r="F42" s="5" t="e">
        <f>SUM(#REF!)</f>
        <v>#REF!</v>
      </c>
      <c r="G42" s="113" t="e">
        <f t="shared" si="0"/>
        <v>#REF!</v>
      </c>
      <c r="H42" s="5" t="e">
        <f>SUM(#REF!)</f>
        <v>#REF!</v>
      </c>
      <c r="I42" s="113" t="e">
        <f t="shared" si="1"/>
        <v>#REF!</v>
      </c>
      <c r="J42" s="5" t="e">
        <f>SUM(#REF!)</f>
        <v>#REF!</v>
      </c>
      <c r="K42" s="113" t="e">
        <f t="shared" si="2"/>
        <v>#REF!</v>
      </c>
      <c r="L42" s="5" t="e">
        <f>SUM(#REF!)</f>
        <v>#REF!</v>
      </c>
      <c r="M42" s="113" t="e">
        <f t="shared" si="3"/>
        <v>#REF!</v>
      </c>
      <c r="N42" s="5" t="e">
        <f>SUM(#REF!)</f>
        <v>#REF!</v>
      </c>
      <c r="O42" s="113" t="e">
        <f t="shared" si="4"/>
        <v>#REF!</v>
      </c>
      <c r="P42" s="111" t="e">
        <f>SUM(#REF!)</f>
        <v>#REF!</v>
      </c>
      <c r="Q42" s="113" t="e">
        <f t="shared" si="5"/>
        <v>#REF!</v>
      </c>
      <c r="R42" s="111" t="e">
        <f>SUM(#REF!)</f>
        <v>#REF!</v>
      </c>
      <c r="S42" s="113" t="e">
        <f t="shared" si="6"/>
        <v>#REF!</v>
      </c>
      <c r="T42" s="5" t="e">
        <f>SUM(#REF!)</f>
        <v>#REF!</v>
      </c>
      <c r="U42" s="113" t="e">
        <f t="shared" si="7"/>
        <v>#REF!</v>
      </c>
      <c r="V42" s="5" t="e">
        <f>SUM(#REF!)</f>
        <v>#REF!</v>
      </c>
      <c r="W42" s="113" t="e">
        <f t="shared" si="8"/>
        <v>#REF!</v>
      </c>
      <c r="X42" s="5" t="e">
        <f>SUM(#REF!)</f>
        <v>#REF!</v>
      </c>
      <c r="Y42" s="113" t="e">
        <f t="shared" si="9"/>
        <v>#REF!</v>
      </c>
    </row>
    <row r="43" spans="2:25" x14ac:dyDescent="0.25">
      <c r="B43" s="100" t="str">
        <f>SourceValues!A68</f>
        <v>Removal of impacted tooth – partially bony</v>
      </c>
      <c r="C43" s="101" t="str">
        <f>SourceValues!B68</f>
        <v>D7230</v>
      </c>
      <c r="D43" s="102">
        <f>SourceValues!C68</f>
        <v>5</v>
      </c>
      <c r="E43" s="4">
        <f>SourceValues!E68</f>
        <v>578.54999999999995</v>
      </c>
      <c r="F43" s="5" t="e">
        <f>SUM(#REF!)</f>
        <v>#REF!</v>
      </c>
      <c r="G43" s="113" t="e">
        <f t="shared" si="0"/>
        <v>#REF!</v>
      </c>
      <c r="H43" s="5" t="e">
        <f>SUM(#REF!)</f>
        <v>#REF!</v>
      </c>
      <c r="I43" s="113" t="e">
        <f t="shared" si="1"/>
        <v>#REF!</v>
      </c>
      <c r="J43" s="5" t="e">
        <f>SUM(#REF!)</f>
        <v>#REF!</v>
      </c>
      <c r="K43" s="113" t="e">
        <f t="shared" si="2"/>
        <v>#REF!</v>
      </c>
      <c r="L43" s="5" t="e">
        <f>SUM(#REF!)</f>
        <v>#REF!</v>
      </c>
      <c r="M43" s="113" t="e">
        <f t="shared" si="3"/>
        <v>#REF!</v>
      </c>
      <c r="N43" s="5" t="e">
        <f>SUM(#REF!)</f>
        <v>#REF!</v>
      </c>
      <c r="O43" s="113" t="e">
        <f t="shared" si="4"/>
        <v>#REF!</v>
      </c>
      <c r="P43" s="111" t="e">
        <f>SUM(#REF!)</f>
        <v>#REF!</v>
      </c>
      <c r="Q43" s="113" t="e">
        <f t="shared" si="5"/>
        <v>#REF!</v>
      </c>
      <c r="R43" s="111" t="e">
        <f>SUM(#REF!)</f>
        <v>#REF!</v>
      </c>
      <c r="S43" s="113" t="e">
        <f t="shared" si="6"/>
        <v>#REF!</v>
      </c>
      <c r="T43" s="5" t="e">
        <f>SUM(#REF!)</f>
        <v>#REF!</v>
      </c>
      <c r="U43" s="113" t="e">
        <f t="shared" si="7"/>
        <v>#REF!</v>
      </c>
      <c r="V43" s="5" t="e">
        <f>SUM(#REF!)</f>
        <v>#REF!</v>
      </c>
      <c r="W43" s="113" t="e">
        <f t="shared" si="8"/>
        <v>#REF!</v>
      </c>
      <c r="X43" s="5" t="e">
        <f>SUM(#REF!)</f>
        <v>#REF!</v>
      </c>
      <c r="Y43" s="113" t="e">
        <f t="shared" si="9"/>
        <v>#REF!</v>
      </c>
    </row>
    <row r="44" spans="2:25" x14ac:dyDescent="0.25">
      <c r="B44" s="100" t="e">
        <f>SourceValues!#REF!</f>
        <v>#REF!</v>
      </c>
      <c r="C44" s="101" t="e">
        <f>SourceValues!#REF!</f>
        <v>#REF!</v>
      </c>
      <c r="D44" s="102" t="e">
        <f>SourceValues!#REF!</f>
        <v>#REF!</v>
      </c>
      <c r="E44" s="4" t="e">
        <f>SourceValues!#REF!</f>
        <v>#REF!</v>
      </c>
      <c r="F44" s="5" t="e">
        <f>SUM(#REF!)</f>
        <v>#REF!</v>
      </c>
      <c r="G44" s="113" t="e">
        <f t="shared" si="0"/>
        <v>#REF!</v>
      </c>
      <c r="H44" s="5" t="e">
        <f>SUM(#REF!)</f>
        <v>#REF!</v>
      </c>
      <c r="I44" s="113" t="e">
        <f t="shared" si="1"/>
        <v>#REF!</v>
      </c>
      <c r="J44" s="5" t="e">
        <f>SUM(#REF!)</f>
        <v>#REF!</v>
      </c>
      <c r="K44" s="113" t="e">
        <f t="shared" si="2"/>
        <v>#REF!</v>
      </c>
      <c r="L44" s="5" t="e">
        <f>SUM(#REF!)</f>
        <v>#REF!</v>
      </c>
      <c r="M44" s="113" t="e">
        <f t="shared" si="3"/>
        <v>#REF!</v>
      </c>
      <c r="N44" s="5" t="e">
        <f>SUM(#REF!)</f>
        <v>#REF!</v>
      </c>
      <c r="O44" s="113" t="e">
        <f t="shared" si="4"/>
        <v>#REF!</v>
      </c>
      <c r="P44" s="111" t="e">
        <f>SUM(#REF!)</f>
        <v>#REF!</v>
      </c>
      <c r="Q44" s="113" t="e">
        <f t="shared" si="5"/>
        <v>#REF!</v>
      </c>
      <c r="R44" s="111" t="e">
        <f>SUM(#REF!)</f>
        <v>#REF!</v>
      </c>
      <c r="S44" s="113" t="e">
        <f t="shared" si="6"/>
        <v>#REF!</v>
      </c>
      <c r="T44" s="5" t="e">
        <f>SUM(#REF!)</f>
        <v>#REF!</v>
      </c>
      <c r="U44" s="113" t="e">
        <f t="shared" si="7"/>
        <v>#REF!</v>
      </c>
      <c r="V44" s="5" t="e">
        <f>SUM(#REF!)</f>
        <v>#REF!</v>
      </c>
      <c r="W44" s="113" t="e">
        <f t="shared" si="8"/>
        <v>#REF!</v>
      </c>
      <c r="X44" s="5" t="e">
        <f>SUM(#REF!)</f>
        <v>#REF!</v>
      </c>
      <c r="Y44" s="113" t="e">
        <f t="shared" si="9"/>
        <v>#REF!</v>
      </c>
    </row>
    <row r="45" spans="2:25" x14ac:dyDescent="0.25">
      <c r="B45" s="100" t="e">
        <f>SourceValues!#REF!</f>
        <v>#REF!</v>
      </c>
      <c r="C45" s="101" t="e">
        <f>SourceValues!#REF!</f>
        <v>#REF!</v>
      </c>
      <c r="D45" s="102" t="e">
        <f>SourceValues!#REF!</f>
        <v>#REF!</v>
      </c>
      <c r="E45" s="4" t="e">
        <f>SourceValues!#REF!</f>
        <v>#REF!</v>
      </c>
      <c r="F45" s="5" t="e">
        <f>SUM(#REF!)</f>
        <v>#REF!</v>
      </c>
      <c r="G45" s="113" t="e">
        <f t="shared" si="0"/>
        <v>#REF!</v>
      </c>
      <c r="H45" s="5" t="e">
        <f>SUM(#REF!)</f>
        <v>#REF!</v>
      </c>
      <c r="I45" s="113" t="e">
        <f t="shared" si="1"/>
        <v>#REF!</v>
      </c>
      <c r="J45" s="5" t="e">
        <f>SUM(#REF!)</f>
        <v>#REF!</v>
      </c>
      <c r="K45" s="113" t="e">
        <f t="shared" si="2"/>
        <v>#REF!</v>
      </c>
      <c r="L45" s="5" t="e">
        <f>SUM(#REF!)</f>
        <v>#REF!</v>
      </c>
      <c r="M45" s="113" t="e">
        <f t="shared" si="3"/>
        <v>#REF!</v>
      </c>
      <c r="N45" s="5" t="e">
        <f>SUM(#REF!)</f>
        <v>#REF!</v>
      </c>
      <c r="O45" s="113" t="e">
        <f t="shared" si="4"/>
        <v>#REF!</v>
      </c>
      <c r="P45" s="111" t="e">
        <f>SUM(#REF!)</f>
        <v>#REF!</v>
      </c>
      <c r="Q45" s="113" t="e">
        <f t="shared" si="5"/>
        <v>#REF!</v>
      </c>
      <c r="R45" s="111" t="e">
        <f>SUM(#REF!)</f>
        <v>#REF!</v>
      </c>
      <c r="S45" s="113" t="e">
        <f t="shared" si="6"/>
        <v>#REF!</v>
      </c>
      <c r="T45" s="5" t="e">
        <f>SUM(#REF!)</f>
        <v>#REF!</v>
      </c>
      <c r="U45" s="113" t="e">
        <f t="shared" si="7"/>
        <v>#REF!</v>
      </c>
      <c r="V45" s="5" t="e">
        <f>SUM(#REF!)</f>
        <v>#REF!</v>
      </c>
      <c r="W45" s="113" t="e">
        <f t="shared" si="8"/>
        <v>#REF!</v>
      </c>
      <c r="X45" s="5" t="e">
        <f>SUM(#REF!)</f>
        <v>#REF!</v>
      </c>
      <c r="Y45" s="113" t="e">
        <f t="shared" si="9"/>
        <v>#REF!</v>
      </c>
    </row>
    <row r="46" spans="2:25" x14ac:dyDescent="0.25">
      <c r="B46" s="100" t="e">
        <f>SourceValues!#REF!</f>
        <v>#REF!</v>
      </c>
      <c r="C46" s="101" t="e">
        <f>SourceValues!#REF!</f>
        <v>#REF!</v>
      </c>
      <c r="D46" s="102" t="e">
        <f>SourceValues!#REF!</f>
        <v>#REF!</v>
      </c>
      <c r="E46" s="4" t="e">
        <f>SourceValues!#REF!</f>
        <v>#REF!</v>
      </c>
      <c r="F46" s="5" t="e">
        <f>SUM(#REF!)</f>
        <v>#REF!</v>
      </c>
      <c r="G46" s="113" t="e">
        <f t="shared" si="0"/>
        <v>#REF!</v>
      </c>
      <c r="H46" s="5" t="e">
        <f>SUM(#REF!)</f>
        <v>#REF!</v>
      </c>
      <c r="I46" s="113" t="e">
        <f t="shared" si="1"/>
        <v>#REF!</v>
      </c>
      <c r="J46" s="5" t="e">
        <f>SUM(#REF!)</f>
        <v>#REF!</v>
      </c>
      <c r="K46" s="113" t="e">
        <f t="shared" si="2"/>
        <v>#REF!</v>
      </c>
      <c r="L46" s="5" t="e">
        <f>SUM(#REF!)</f>
        <v>#REF!</v>
      </c>
      <c r="M46" s="113" t="e">
        <f t="shared" si="3"/>
        <v>#REF!</v>
      </c>
      <c r="N46" s="5" t="e">
        <f>SUM(#REF!)</f>
        <v>#REF!</v>
      </c>
      <c r="O46" s="113" t="e">
        <f t="shared" si="4"/>
        <v>#REF!</v>
      </c>
      <c r="P46" s="111" t="e">
        <f>SUM(#REF!)</f>
        <v>#REF!</v>
      </c>
      <c r="Q46" s="113" t="e">
        <f t="shared" si="5"/>
        <v>#REF!</v>
      </c>
      <c r="R46" s="111" t="e">
        <f>SUM(#REF!)</f>
        <v>#REF!</v>
      </c>
      <c r="S46" s="113" t="e">
        <f t="shared" si="6"/>
        <v>#REF!</v>
      </c>
      <c r="T46" s="5" t="e">
        <f>SUM(#REF!)</f>
        <v>#REF!</v>
      </c>
      <c r="U46" s="113" t="e">
        <f t="shared" si="7"/>
        <v>#REF!</v>
      </c>
      <c r="V46" s="5" t="e">
        <f>SUM(#REF!)</f>
        <v>#REF!</v>
      </c>
      <c r="W46" s="113" t="e">
        <f t="shared" si="8"/>
        <v>#REF!</v>
      </c>
      <c r="X46" s="5" t="e">
        <f>SUM(#REF!)</f>
        <v>#REF!</v>
      </c>
      <c r="Y46" s="113" t="e">
        <f t="shared" si="9"/>
        <v>#REF!</v>
      </c>
    </row>
    <row r="47" spans="2:25" x14ac:dyDescent="0.25">
      <c r="B47" s="100" t="e">
        <f>SourceValues!#REF!</f>
        <v>#REF!</v>
      </c>
      <c r="C47" s="101" t="e">
        <f>SourceValues!#REF!</f>
        <v>#REF!</v>
      </c>
      <c r="D47" s="102" t="e">
        <f>SourceValues!#REF!</f>
        <v>#REF!</v>
      </c>
      <c r="E47" s="4" t="e">
        <f>SourceValues!#REF!</f>
        <v>#REF!</v>
      </c>
      <c r="F47" s="5" t="e">
        <f>SUM(#REF!)</f>
        <v>#REF!</v>
      </c>
      <c r="G47" s="113" t="e">
        <f t="shared" si="0"/>
        <v>#REF!</v>
      </c>
      <c r="H47" s="5" t="e">
        <f>SUM(#REF!)</f>
        <v>#REF!</v>
      </c>
      <c r="I47" s="113" t="e">
        <f t="shared" si="1"/>
        <v>#REF!</v>
      </c>
      <c r="J47" s="5" t="e">
        <f>SUM(#REF!)</f>
        <v>#REF!</v>
      </c>
      <c r="K47" s="113" t="e">
        <f t="shared" si="2"/>
        <v>#REF!</v>
      </c>
      <c r="L47" s="5" t="e">
        <f>SUM(#REF!)</f>
        <v>#REF!</v>
      </c>
      <c r="M47" s="113" t="e">
        <f t="shared" si="3"/>
        <v>#REF!</v>
      </c>
      <c r="N47" s="5" t="e">
        <f>SUM(#REF!)</f>
        <v>#REF!</v>
      </c>
      <c r="O47" s="113" t="e">
        <f t="shared" si="4"/>
        <v>#REF!</v>
      </c>
      <c r="P47" s="111" t="e">
        <f>SUM(#REF!)</f>
        <v>#REF!</v>
      </c>
      <c r="Q47" s="113" t="e">
        <f t="shared" si="5"/>
        <v>#REF!</v>
      </c>
      <c r="R47" s="111" t="e">
        <f>SUM(#REF!)</f>
        <v>#REF!</v>
      </c>
      <c r="S47" s="113" t="e">
        <f t="shared" si="6"/>
        <v>#REF!</v>
      </c>
      <c r="T47" s="5" t="e">
        <f>SUM(#REF!)</f>
        <v>#REF!</v>
      </c>
      <c r="U47" s="113" t="e">
        <f t="shared" si="7"/>
        <v>#REF!</v>
      </c>
      <c r="V47" s="5" t="e">
        <f>SUM(#REF!)</f>
        <v>#REF!</v>
      </c>
      <c r="W47" s="113" t="e">
        <f t="shared" si="8"/>
        <v>#REF!</v>
      </c>
      <c r="X47" s="5" t="e">
        <f>SUM(#REF!)</f>
        <v>#REF!</v>
      </c>
      <c r="Y47" s="113" t="e">
        <f t="shared" si="9"/>
        <v>#REF!</v>
      </c>
    </row>
    <row r="48" spans="2:25" x14ac:dyDescent="0.25">
      <c r="B48" s="100" t="e">
        <f>SourceValues!#REF!</f>
        <v>#REF!</v>
      </c>
      <c r="C48" s="101" t="e">
        <f>SourceValues!#REF!</f>
        <v>#REF!</v>
      </c>
      <c r="D48" s="102" t="e">
        <f>SourceValues!#REF!</f>
        <v>#REF!</v>
      </c>
      <c r="E48" s="4" t="e">
        <f>SourceValues!#REF!</f>
        <v>#REF!</v>
      </c>
      <c r="F48" s="5" t="e">
        <f>SUM(#REF!)</f>
        <v>#REF!</v>
      </c>
      <c r="G48" s="113" t="e">
        <f t="shared" si="0"/>
        <v>#REF!</v>
      </c>
      <c r="H48" s="5" t="e">
        <f>SUM(#REF!)</f>
        <v>#REF!</v>
      </c>
      <c r="I48" s="113" t="e">
        <f t="shared" si="1"/>
        <v>#REF!</v>
      </c>
      <c r="J48" s="5" t="e">
        <f>SUM(#REF!)</f>
        <v>#REF!</v>
      </c>
      <c r="K48" s="113" t="e">
        <f t="shared" si="2"/>
        <v>#REF!</v>
      </c>
      <c r="L48" s="5" t="e">
        <f>SUM(#REF!)</f>
        <v>#REF!</v>
      </c>
      <c r="M48" s="113" t="e">
        <f t="shared" si="3"/>
        <v>#REF!</v>
      </c>
      <c r="N48" s="5" t="e">
        <f>SUM(#REF!)</f>
        <v>#REF!</v>
      </c>
      <c r="O48" s="113" t="e">
        <f t="shared" si="4"/>
        <v>#REF!</v>
      </c>
      <c r="P48" s="111" t="e">
        <f>SUM(#REF!)</f>
        <v>#REF!</v>
      </c>
      <c r="Q48" s="113" t="e">
        <f t="shared" si="5"/>
        <v>#REF!</v>
      </c>
      <c r="R48" s="111" t="e">
        <f>SUM(#REF!)</f>
        <v>#REF!</v>
      </c>
      <c r="S48" s="113" t="e">
        <f t="shared" si="6"/>
        <v>#REF!</v>
      </c>
      <c r="T48" s="5" t="e">
        <f>SUM(#REF!)</f>
        <v>#REF!</v>
      </c>
      <c r="U48" s="113" t="e">
        <f t="shared" si="7"/>
        <v>#REF!</v>
      </c>
      <c r="V48" s="5" t="e">
        <f>SUM(#REF!)</f>
        <v>#REF!</v>
      </c>
      <c r="W48" s="113" t="e">
        <f t="shared" si="8"/>
        <v>#REF!</v>
      </c>
      <c r="X48" s="5" t="e">
        <f>SUM(#REF!)</f>
        <v>#REF!</v>
      </c>
      <c r="Y48" s="113" t="e">
        <f t="shared" si="9"/>
        <v>#REF!</v>
      </c>
    </row>
    <row r="49" spans="2:25" x14ac:dyDescent="0.25">
      <c r="B49" s="100" t="e">
        <f>SourceValues!#REF!</f>
        <v>#REF!</v>
      </c>
      <c r="C49" s="101" t="e">
        <f>SourceValues!#REF!</f>
        <v>#REF!</v>
      </c>
      <c r="D49" s="102" t="e">
        <f>SourceValues!#REF!</f>
        <v>#REF!</v>
      </c>
      <c r="E49" s="4" t="e">
        <f>SourceValues!#REF!</f>
        <v>#REF!</v>
      </c>
      <c r="F49" s="5" t="e">
        <f>SUM(#REF!)</f>
        <v>#REF!</v>
      </c>
      <c r="G49" s="113" t="e">
        <f t="shared" si="0"/>
        <v>#REF!</v>
      </c>
      <c r="H49" s="5" t="e">
        <f>SUM(#REF!)</f>
        <v>#REF!</v>
      </c>
      <c r="I49" s="113" t="e">
        <f t="shared" si="1"/>
        <v>#REF!</v>
      </c>
      <c r="J49" s="5" t="e">
        <f>SUM(#REF!)</f>
        <v>#REF!</v>
      </c>
      <c r="K49" s="113" t="e">
        <f t="shared" si="2"/>
        <v>#REF!</v>
      </c>
      <c r="L49" s="5" t="e">
        <f>SUM(#REF!)</f>
        <v>#REF!</v>
      </c>
      <c r="M49" s="113" t="e">
        <f t="shared" si="3"/>
        <v>#REF!</v>
      </c>
      <c r="N49" s="5" t="e">
        <f>SUM(#REF!)</f>
        <v>#REF!</v>
      </c>
      <c r="O49" s="113" t="e">
        <f t="shared" si="4"/>
        <v>#REF!</v>
      </c>
      <c r="P49" s="111" t="e">
        <f>SUM(#REF!)</f>
        <v>#REF!</v>
      </c>
      <c r="Q49" s="113" t="e">
        <f t="shared" si="5"/>
        <v>#REF!</v>
      </c>
      <c r="R49" s="111" t="e">
        <f>SUM(#REF!)</f>
        <v>#REF!</v>
      </c>
      <c r="S49" s="113" t="e">
        <f t="shared" si="6"/>
        <v>#REF!</v>
      </c>
      <c r="T49" s="5" t="e">
        <f>SUM(#REF!)</f>
        <v>#REF!</v>
      </c>
      <c r="U49" s="113" t="e">
        <f t="shared" si="7"/>
        <v>#REF!</v>
      </c>
      <c r="V49" s="5" t="e">
        <f>SUM(#REF!)</f>
        <v>#REF!</v>
      </c>
      <c r="W49" s="113" t="e">
        <f t="shared" si="8"/>
        <v>#REF!</v>
      </c>
      <c r="X49" s="5" t="e">
        <f>SUM(#REF!)</f>
        <v>#REF!</v>
      </c>
      <c r="Y49" s="113" t="e">
        <f t="shared" si="9"/>
        <v>#REF!</v>
      </c>
    </row>
    <row r="50" spans="2:25" x14ac:dyDescent="0.25">
      <c r="B50" s="100" t="e">
        <f>SourceValues!#REF!</f>
        <v>#REF!</v>
      </c>
      <c r="C50" s="101" t="e">
        <f>SourceValues!#REF!</f>
        <v>#REF!</v>
      </c>
      <c r="D50" s="102" t="e">
        <f>SourceValues!#REF!</f>
        <v>#REF!</v>
      </c>
      <c r="E50" s="4" t="e">
        <f>SourceValues!#REF!</f>
        <v>#REF!</v>
      </c>
      <c r="F50" s="5" t="e">
        <f>SUM(#REF!)</f>
        <v>#REF!</v>
      </c>
      <c r="G50" s="113" t="e">
        <f t="shared" si="0"/>
        <v>#REF!</v>
      </c>
      <c r="H50" s="5" t="e">
        <f>SUM(#REF!)</f>
        <v>#REF!</v>
      </c>
      <c r="I50" s="113" t="e">
        <f t="shared" si="1"/>
        <v>#REF!</v>
      </c>
      <c r="J50" s="5" t="e">
        <f>SUM(#REF!)</f>
        <v>#REF!</v>
      </c>
      <c r="K50" s="113" t="e">
        <f t="shared" si="2"/>
        <v>#REF!</v>
      </c>
      <c r="L50" s="5" t="e">
        <f>SUM(#REF!)</f>
        <v>#REF!</v>
      </c>
      <c r="M50" s="113" t="e">
        <f t="shared" si="3"/>
        <v>#REF!</v>
      </c>
      <c r="N50" s="5" t="e">
        <f>SUM(#REF!)</f>
        <v>#REF!</v>
      </c>
      <c r="O50" s="113" t="e">
        <f t="shared" si="4"/>
        <v>#REF!</v>
      </c>
      <c r="P50" s="111" t="e">
        <f>SUM(#REF!)</f>
        <v>#REF!</v>
      </c>
      <c r="Q50" s="113" t="e">
        <f t="shared" si="5"/>
        <v>#REF!</v>
      </c>
      <c r="R50" s="111" t="e">
        <f>SUM(#REF!)</f>
        <v>#REF!</v>
      </c>
      <c r="S50" s="113" t="e">
        <f t="shared" si="6"/>
        <v>#REF!</v>
      </c>
      <c r="T50" s="5" t="e">
        <f>SUM(#REF!)</f>
        <v>#REF!</v>
      </c>
      <c r="U50" s="113" t="e">
        <f t="shared" si="7"/>
        <v>#REF!</v>
      </c>
      <c r="V50" s="5" t="e">
        <f>SUM(#REF!)</f>
        <v>#REF!</v>
      </c>
      <c r="W50" s="113" t="e">
        <f t="shared" si="8"/>
        <v>#REF!</v>
      </c>
      <c r="X50" s="5" t="e">
        <f>SUM(#REF!)</f>
        <v>#REF!</v>
      </c>
      <c r="Y50" s="113" t="e">
        <f t="shared" si="9"/>
        <v>#REF!</v>
      </c>
    </row>
    <row r="51" spans="2:25" x14ac:dyDescent="0.25">
      <c r="B51" s="100" t="e">
        <f>SourceValues!#REF!</f>
        <v>#REF!</v>
      </c>
      <c r="C51" s="101" t="e">
        <f>SourceValues!#REF!</f>
        <v>#REF!</v>
      </c>
      <c r="D51" s="102" t="e">
        <f>SourceValues!#REF!</f>
        <v>#REF!</v>
      </c>
      <c r="E51" s="4" t="e">
        <f>SourceValues!#REF!</f>
        <v>#REF!</v>
      </c>
      <c r="F51" s="5" t="e">
        <f>SUM(#REF!)</f>
        <v>#REF!</v>
      </c>
      <c r="G51" s="113" t="e">
        <f t="shared" si="0"/>
        <v>#REF!</v>
      </c>
      <c r="H51" s="5" t="e">
        <f>SUM(#REF!)</f>
        <v>#REF!</v>
      </c>
      <c r="I51" s="113" t="e">
        <f t="shared" si="1"/>
        <v>#REF!</v>
      </c>
      <c r="J51" s="5" t="e">
        <f>SUM(#REF!)</f>
        <v>#REF!</v>
      </c>
      <c r="K51" s="113" t="e">
        <f t="shared" si="2"/>
        <v>#REF!</v>
      </c>
      <c r="L51" s="5" t="e">
        <f>SUM(#REF!)</f>
        <v>#REF!</v>
      </c>
      <c r="M51" s="113" t="e">
        <f t="shared" si="3"/>
        <v>#REF!</v>
      </c>
      <c r="N51" s="5" t="e">
        <f>SUM(#REF!)</f>
        <v>#REF!</v>
      </c>
      <c r="O51" s="113" t="e">
        <f t="shared" si="4"/>
        <v>#REF!</v>
      </c>
      <c r="P51" s="111" t="e">
        <f>SUM(#REF!)</f>
        <v>#REF!</v>
      </c>
      <c r="Q51" s="113" t="e">
        <f t="shared" si="5"/>
        <v>#REF!</v>
      </c>
      <c r="R51" s="111" t="e">
        <f>SUM(#REF!)</f>
        <v>#REF!</v>
      </c>
      <c r="S51" s="113" t="e">
        <f t="shared" si="6"/>
        <v>#REF!</v>
      </c>
      <c r="T51" s="5" t="e">
        <f>SUM(#REF!)</f>
        <v>#REF!</v>
      </c>
      <c r="U51" s="113" t="e">
        <f t="shared" si="7"/>
        <v>#REF!</v>
      </c>
      <c r="V51" s="5" t="e">
        <f>SUM(#REF!)</f>
        <v>#REF!</v>
      </c>
      <c r="W51" s="113" t="e">
        <f t="shared" si="8"/>
        <v>#REF!</v>
      </c>
      <c r="X51" s="5" t="e">
        <f>SUM(#REF!)</f>
        <v>#REF!</v>
      </c>
      <c r="Y51" s="113" t="e">
        <f t="shared" si="9"/>
        <v>#REF!</v>
      </c>
    </row>
    <row r="52" spans="2:25" x14ac:dyDescent="0.25">
      <c r="B52" s="100" t="e">
        <f>SourceValues!#REF!</f>
        <v>#REF!</v>
      </c>
      <c r="C52" s="101" t="e">
        <f>SourceValues!#REF!</f>
        <v>#REF!</v>
      </c>
      <c r="D52" s="102" t="e">
        <f>SourceValues!#REF!</f>
        <v>#REF!</v>
      </c>
      <c r="E52" s="4" t="e">
        <f>SourceValues!#REF!</f>
        <v>#REF!</v>
      </c>
      <c r="F52" s="5" t="e">
        <f>SUM(#REF!)</f>
        <v>#REF!</v>
      </c>
      <c r="G52" s="113" t="e">
        <f t="shared" si="0"/>
        <v>#REF!</v>
      </c>
      <c r="H52" s="5" t="e">
        <f>SUM(#REF!)</f>
        <v>#REF!</v>
      </c>
      <c r="I52" s="113" t="e">
        <f t="shared" si="1"/>
        <v>#REF!</v>
      </c>
      <c r="J52" s="5" t="e">
        <f>SUM(#REF!)</f>
        <v>#REF!</v>
      </c>
      <c r="K52" s="113" t="e">
        <f t="shared" si="2"/>
        <v>#REF!</v>
      </c>
      <c r="L52" s="5" t="e">
        <f>SUM(#REF!)</f>
        <v>#REF!</v>
      </c>
      <c r="M52" s="113" t="e">
        <f t="shared" si="3"/>
        <v>#REF!</v>
      </c>
      <c r="N52" s="5" t="e">
        <f>SUM(#REF!)</f>
        <v>#REF!</v>
      </c>
      <c r="O52" s="113" t="e">
        <f t="shared" si="4"/>
        <v>#REF!</v>
      </c>
      <c r="P52" s="111" t="e">
        <f>SUM(#REF!)</f>
        <v>#REF!</v>
      </c>
      <c r="Q52" s="113" t="e">
        <f t="shared" si="5"/>
        <v>#REF!</v>
      </c>
      <c r="R52" s="111" t="e">
        <f>SUM(#REF!)</f>
        <v>#REF!</v>
      </c>
      <c r="S52" s="113" t="e">
        <f t="shared" si="6"/>
        <v>#REF!</v>
      </c>
      <c r="T52" s="5" t="e">
        <f>SUM(#REF!)</f>
        <v>#REF!</v>
      </c>
      <c r="U52" s="113" t="e">
        <f t="shared" si="7"/>
        <v>#REF!</v>
      </c>
      <c r="V52" s="5" t="e">
        <f>SUM(#REF!)</f>
        <v>#REF!</v>
      </c>
      <c r="W52" s="113" t="e">
        <f t="shared" si="8"/>
        <v>#REF!</v>
      </c>
      <c r="X52" s="5" t="e">
        <f>SUM(#REF!)</f>
        <v>#REF!</v>
      </c>
      <c r="Y52" s="113" t="e">
        <f t="shared" si="9"/>
        <v>#REF!</v>
      </c>
    </row>
    <row r="53" spans="2:25" x14ac:dyDescent="0.25">
      <c r="B53" s="100" t="e">
        <f>SourceValues!#REF!</f>
        <v>#REF!</v>
      </c>
      <c r="C53" s="101" t="e">
        <f>SourceValues!#REF!</f>
        <v>#REF!</v>
      </c>
      <c r="D53" s="102" t="e">
        <f>SourceValues!#REF!</f>
        <v>#REF!</v>
      </c>
      <c r="E53" s="4" t="e">
        <f>SourceValues!#REF!</f>
        <v>#REF!</v>
      </c>
      <c r="F53" s="5" t="e">
        <f>SUM(#REF!)</f>
        <v>#REF!</v>
      </c>
      <c r="G53" s="113" t="e">
        <f t="shared" si="0"/>
        <v>#REF!</v>
      </c>
      <c r="H53" s="5" t="e">
        <f>SUM(#REF!)</f>
        <v>#REF!</v>
      </c>
      <c r="I53" s="113" t="e">
        <f t="shared" si="1"/>
        <v>#REF!</v>
      </c>
      <c r="J53" s="5" t="e">
        <f>SUM(#REF!)</f>
        <v>#REF!</v>
      </c>
      <c r="K53" s="113" t="e">
        <f t="shared" si="2"/>
        <v>#REF!</v>
      </c>
      <c r="L53" s="5" t="e">
        <f>SUM(#REF!)</f>
        <v>#REF!</v>
      </c>
      <c r="M53" s="113" t="e">
        <f t="shared" si="3"/>
        <v>#REF!</v>
      </c>
      <c r="N53" s="5" t="e">
        <f>SUM(#REF!)</f>
        <v>#REF!</v>
      </c>
      <c r="O53" s="113" t="e">
        <f t="shared" si="4"/>
        <v>#REF!</v>
      </c>
      <c r="P53" s="111" t="e">
        <f>SUM(#REF!)</f>
        <v>#REF!</v>
      </c>
      <c r="Q53" s="113" t="e">
        <f t="shared" si="5"/>
        <v>#REF!</v>
      </c>
      <c r="R53" s="111" t="e">
        <f>SUM(#REF!)</f>
        <v>#REF!</v>
      </c>
      <c r="S53" s="113" t="e">
        <f t="shared" si="6"/>
        <v>#REF!</v>
      </c>
      <c r="T53" s="5" t="e">
        <f>SUM(#REF!)</f>
        <v>#REF!</v>
      </c>
      <c r="U53" s="113" t="e">
        <f t="shared" si="7"/>
        <v>#REF!</v>
      </c>
      <c r="V53" s="5" t="e">
        <f>SUM(#REF!)</f>
        <v>#REF!</v>
      </c>
      <c r="W53" s="113" t="e">
        <f t="shared" si="8"/>
        <v>#REF!</v>
      </c>
      <c r="X53" s="5" t="e">
        <f>SUM(#REF!)</f>
        <v>#REF!</v>
      </c>
      <c r="Y53" s="113" t="e">
        <f t="shared" si="9"/>
        <v>#REF!</v>
      </c>
    </row>
    <row r="54" spans="2:25" x14ac:dyDescent="0.25">
      <c r="B54" s="100" t="e">
        <f>SourceValues!#REF!</f>
        <v>#REF!</v>
      </c>
      <c r="C54" s="101" t="e">
        <f>SourceValues!#REF!</f>
        <v>#REF!</v>
      </c>
      <c r="D54" s="102" t="e">
        <f>SourceValues!#REF!</f>
        <v>#REF!</v>
      </c>
      <c r="E54" s="4" t="e">
        <f>SourceValues!#REF!</f>
        <v>#REF!</v>
      </c>
      <c r="F54" s="5" t="e">
        <f>SUM(#REF!)</f>
        <v>#REF!</v>
      </c>
      <c r="G54" s="113" t="e">
        <f t="shared" si="0"/>
        <v>#REF!</v>
      </c>
      <c r="H54" s="5" t="e">
        <f>SUM(#REF!)</f>
        <v>#REF!</v>
      </c>
      <c r="I54" s="113" t="e">
        <f t="shared" si="1"/>
        <v>#REF!</v>
      </c>
      <c r="J54" s="5" t="e">
        <f>SUM(#REF!)</f>
        <v>#REF!</v>
      </c>
      <c r="K54" s="113" t="e">
        <f t="shared" si="2"/>
        <v>#REF!</v>
      </c>
      <c r="L54" s="5" t="e">
        <f>SUM(#REF!)</f>
        <v>#REF!</v>
      </c>
      <c r="M54" s="113" t="e">
        <f t="shared" si="3"/>
        <v>#REF!</v>
      </c>
      <c r="N54" s="5" t="e">
        <f>SUM(#REF!)</f>
        <v>#REF!</v>
      </c>
      <c r="O54" s="113" t="e">
        <f t="shared" si="4"/>
        <v>#REF!</v>
      </c>
      <c r="P54" s="111" t="e">
        <f>SUM(#REF!)</f>
        <v>#REF!</v>
      </c>
      <c r="Q54" s="113" t="e">
        <f t="shared" si="5"/>
        <v>#REF!</v>
      </c>
      <c r="R54" s="111" t="e">
        <f>SUM(#REF!)</f>
        <v>#REF!</v>
      </c>
      <c r="S54" s="113" t="e">
        <f t="shared" si="6"/>
        <v>#REF!</v>
      </c>
      <c r="T54" s="5" t="e">
        <f>SUM(#REF!)</f>
        <v>#REF!</v>
      </c>
      <c r="U54" s="113" t="e">
        <f t="shared" si="7"/>
        <v>#REF!</v>
      </c>
      <c r="V54" s="5" t="e">
        <f>SUM(#REF!)</f>
        <v>#REF!</v>
      </c>
      <c r="W54" s="113" t="e">
        <f t="shared" si="8"/>
        <v>#REF!</v>
      </c>
      <c r="X54" s="5" t="e">
        <f>SUM(#REF!)</f>
        <v>#REF!</v>
      </c>
      <c r="Y54" s="113" t="e">
        <f t="shared" si="9"/>
        <v>#REF!</v>
      </c>
    </row>
    <row r="55" spans="2:25" x14ac:dyDescent="0.25">
      <c r="B55" s="100" t="e">
        <f>SourceValues!#REF!</f>
        <v>#REF!</v>
      </c>
      <c r="C55" s="101" t="e">
        <f>SourceValues!#REF!</f>
        <v>#REF!</v>
      </c>
      <c r="D55" s="102" t="e">
        <f>SourceValues!#REF!</f>
        <v>#REF!</v>
      </c>
      <c r="E55" s="4" t="e">
        <f>SourceValues!#REF!</f>
        <v>#REF!</v>
      </c>
      <c r="F55" s="5" t="e">
        <f>SUM(#REF!)</f>
        <v>#REF!</v>
      </c>
      <c r="G55" s="113" t="e">
        <f t="shared" si="0"/>
        <v>#REF!</v>
      </c>
      <c r="H55" s="5" t="e">
        <f>SUM(#REF!)</f>
        <v>#REF!</v>
      </c>
      <c r="I55" s="113" t="e">
        <f t="shared" si="1"/>
        <v>#REF!</v>
      </c>
      <c r="J55" s="5" t="e">
        <f>SUM(#REF!)</f>
        <v>#REF!</v>
      </c>
      <c r="K55" s="113" t="e">
        <f t="shared" si="2"/>
        <v>#REF!</v>
      </c>
      <c r="L55" s="5" t="e">
        <f>SUM(#REF!)</f>
        <v>#REF!</v>
      </c>
      <c r="M55" s="113" t="e">
        <f t="shared" si="3"/>
        <v>#REF!</v>
      </c>
      <c r="N55" s="5" t="e">
        <f>SUM(#REF!)</f>
        <v>#REF!</v>
      </c>
      <c r="O55" s="113" t="e">
        <f t="shared" si="4"/>
        <v>#REF!</v>
      </c>
      <c r="P55" s="111" t="e">
        <f>SUM(#REF!)</f>
        <v>#REF!</v>
      </c>
      <c r="Q55" s="113" t="e">
        <f t="shared" si="5"/>
        <v>#REF!</v>
      </c>
      <c r="R55" s="111" t="e">
        <f>SUM(#REF!)</f>
        <v>#REF!</v>
      </c>
      <c r="S55" s="113" t="e">
        <f t="shared" si="6"/>
        <v>#REF!</v>
      </c>
      <c r="T55" s="5" t="e">
        <f>SUM(#REF!)</f>
        <v>#REF!</v>
      </c>
      <c r="U55" s="113" t="e">
        <f t="shared" si="7"/>
        <v>#REF!</v>
      </c>
      <c r="V55" s="5" t="e">
        <f>SUM(#REF!)</f>
        <v>#REF!</v>
      </c>
      <c r="W55" s="113" t="e">
        <f t="shared" si="8"/>
        <v>#REF!</v>
      </c>
      <c r="X55" s="5" t="e">
        <f>SUM(#REF!)</f>
        <v>#REF!</v>
      </c>
      <c r="Y55" s="113" t="e">
        <f t="shared" si="9"/>
        <v>#REF!</v>
      </c>
    </row>
    <row r="56" spans="2:25" x14ac:dyDescent="0.25">
      <c r="B56" s="100" t="e">
        <f>SourceValues!#REF!</f>
        <v>#REF!</v>
      </c>
      <c r="C56" s="101" t="e">
        <f>SourceValues!#REF!</f>
        <v>#REF!</v>
      </c>
      <c r="D56" s="102" t="e">
        <f>SourceValues!#REF!</f>
        <v>#REF!</v>
      </c>
      <c r="E56" s="4" t="e">
        <f>SourceValues!#REF!</f>
        <v>#REF!</v>
      </c>
      <c r="F56" s="5" t="e">
        <f>SUM(#REF!)</f>
        <v>#REF!</v>
      </c>
      <c r="G56" s="113" t="e">
        <f t="shared" si="0"/>
        <v>#REF!</v>
      </c>
      <c r="H56" s="5" t="e">
        <f>SUM(#REF!)</f>
        <v>#REF!</v>
      </c>
      <c r="I56" s="113" t="e">
        <f t="shared" si="1"/>
        <v>#REF!</v>
      </c>
      <c r="J56" s="5" t="e">
        <f>SUM(#REF!)</f>
        <v>#REF!</v>
      </c>
      <c r="K56" s="113" t="e">
        <f t="shared" si="2"/>
        <v>#REF!</v>
      </c>
      <c r="L56" s="5" t="e">
        <f>SUM(#REF!)</f>
        <v>#REF!</v>
      </c>
      <c r="M56" s="113" t="e">
        <f t="shared" si="3"/>
        <v>#REF!</v>
      </c>
      <c r="N56" s="5" t="e">
        <f>SUM(#REF!)</f>
        <v>#REF!</v>
      </c>
      <c r="O56" s="113" t="e">
        <f t="shared" si="4"/>
        <v>#REF!</v>
      </c>
      <c r="P56" s="111" t="e">
        <f>SUM(#REF!)</f>
        <v>#REF!</v>
      </c>
      <c r="Q56" s="113" t="e">
        <f t="shared" si="5"/>
        <v>#REF!</v>
      </c>
      <c r="R56" s="111" t="e">
        <f>SUM(#REF!)</f>
        <v>#REF!</v>
      </c>
      <c r="S56" s="113" t="e">
        <f t="shared" si="6"/>
        <v>#REF!</v>
      </c>
      <c r="T56" s="5" t="e">
        <f>SUM(#REF!)</f>
        <v>#REF!</v>
      </c>
      <c r="U56" s="113" t="e">
        <f t="shared" si="7"/>
        <v>#REF!</v>
      </c>
      <c r="V56" s="5" t="e">
        <f>SUM(#REF!)</f>
        <v>#REF!</v>
      </c>
      <c r="W56" s="113" t="e">
        <f t="shared" si="8"/>
        <v>#REF!</v>
      </c>
      <c r="X56" s="5" t="e">
        <f>SUM(#REF!)</f>
        <v>#REF!</v>
      </c>
      <c r="Y56" s="113" t="e">
        <f t="shared" si="9"/>
        <v>#REF!</v>
      </c>
    </row>
    <row r="57" spans="2:25" x14ac:dyDescent="0.25">
      <c r="B57" s="100" t="e">
        <f>SourceValues!#REF!</f>
        <v>#REF!</v>
      </c>
      <c r="C57" s="101" t="e">
        <f>SourceValues!#REF!</f>
        <v>#REF!</v>
      </c>
      <c r="D57" s="102" t="e">
        <f>SourceValues!#REF!</f>
        <v>#REF!</v>
      </c>
      <c r="E57" s="4" t="e">
        <f>SourceValues!#REF!</f>
        <v>#REF!</v>
      </c>
      <c r="F57" s="5" t="e">
        <f>SUM(#REF!)</f>
        <v>#REF!</v>
      </c>
      <c r="G57" s="113" t="e">
        <f t="shared" si="0"/>
        <v>#REF!</v>
      </c>
      <c r="H57" s="5" t="e">
        <f>SUM(#REF!)</f>
        <v>#REF!</v>
      </c>
      <c r="I57" s="113" t="e">
        <f t="shared" si="1"/>
        <v>#REF!</v>
      </c>
      <c r="J57" s="5" t="e">
        <f>SUM(#REF!)</f>
        <v>#REF!</v>
      </c>
      <c r="K57" s="113" t="e">
        <f t="shared" si="2"/>
        <v>#REF!</v>
      </c>
      <c r="L57" s="5" t="e">
        <f>SUM(#REF!)</f>
        <v>#REF!</v>
      </c>
      <c r="M57" s="113" t="e">
        <f t="shared" si="3"/>
        <v>#REF!</v>
      </c>
      <c r="N57" s="5" t="e">
        <f>SUM(#REF!)</f>
        <v>#REF!</v>
      </c>
      <c r="O57" s="113" t="e">
        <f t="shared" si="4"/>
        <v>#REF!</v>
      </c>
      <c r="P57" s="111" t="e">
        <f>SUM(#REF!)</f>
        <v>#REF!</v>
      </c>
      <c r="Q57" s="113" t="e">
        <f t="shared" si="5"/>
        <v>#REF!</v>
      </c>
      <c r="R57" s="111" t="e">
        <f>SUM(#REF!)</f>
        <v>#REF!</v>
      </c>
      <c r="S57" s="113" t="e">
        <f t="shared" si="6"/>
        <v>#REF!</v>
      </c>
      <c r="T57" s="5" t="e">
        <f>SUM(#REF!)</f>
        <v>#REF!</v>
      </c>
      <c r="U57" s="113" t="e">
        <f t="shared" si="7"/>
        <v>#REF!</v>
      </c>
      <c r="V57" s="5" t="e">
        <f>SUM(#REF!)</f>
        <v>#REF!</v>
      </c>
      <c r="W57" s="113" t="e">
        <f t="shared" si="8"/>
        <v>#REF!</v>
      </c>
      <c r="X57" s="5" t="e">
        <f>SUM(#REF!)</f>
        <v>#REF!</v>
      </c>
      <c r="Y57" s="113" t="e">
        <f t="shared" si="9"/>
        <v>#REF!</v>
      </c>
    </row>
    <row r="58" spans="2:25" x14ac:dyDescent="0.25">
      <c r="B58" s="100" t="e">
        <f>SourceValues!#REF!</f>
        <v>#REF!</v>
      </c>
      <c r="C58" s="101" t="e">
        <f>SourceValues!#REF!</f>
        <v>#REF!</v>
      </c>
      <c r="D58" s="102" t="e">
        <f>SourceValues!#REF!</f>
        <v>#REF!</v>
      </c>
      <c r="E58" s="4" t="e">
        <f>SourceValues!#REF!</f>
        <v>#REF!</v>
      </c>
      <c r="F58" s="5" t="e">
        <f>SUM(#REF!)</f>
        <v>#REF!</v>
      </c>
      <c r="G58" s="113" t="e">
        <f t="shared" si="0"/>
        <v>#REF!</v>
      </c>
      <c r="H58" s="5" t="e">
        <f>SUM(#REF!)</f>
        <v>#REF!</v>
      </c>
      <c r="I58" s="113" t="e">
        <f t="shared" si="1"/>
        <v>#REF!</v>
      </c>
      <c r="J58" s="5" t="e">
        <f>SUM(#REF!)</f>
        <v>#REF!</v>
      </c>
      <c r="K58" s="113" t="e">
        <f t="shared" si="2"/>
        <v>#REF!</v>
      </c>
      <c r="L58" s="5" t="e">
        <f>SUM(#REF!)</f>
        <v>#REF!</v>
      </c>
      <c r="M58" s="113" t="e">
        <f t="shared" si="3"/>
        <v>#REF!</v>
      </c>
      <c r="N58" s="5" t="e">
        <f>SUM(#REF!)</f>
        <v>#REF!</v>
      </c>
      <c r="O58" s="113" t="e">
        <f t="shared" si="4"/>
        <v>#REF!</v>
      </c>
      <c r="P58" s="111" t="e">
        <f>SUM(#REF!)</f>
        <v>#REF!</v>
      </c>
      <c r="Q58" s="113" t="e">
        <f t="shared" si="5"/>
        <v>#REF!</v>
      </c>
      <c r="R58" s="111" t="e">
        <f>SUM(#REF!)</f>
        <v>#REF!</v>
      </c>
      <c r="S58" s="113" t="e">
        <f t="shared" si="6"/>
        <v>#REF!</v>
      </c>
      <c r="T58" s="5" t="e">
        <f>SUM(#REF!)</f>
        <v>#REF!</v>
      </c>
      <c r="U58" s="113" t="e">
        <f t="shared" si="7"/>
        <v>#REF!</v>
      </c>
      <c r="V58" s="5" t="e">
        <f>SUM(#REF!)</f>
        <v>#REF!</v>
      </c>
      <c r="W58" s="113" t="e">
        <f t="shared" si="8"/>
        <v>#REF!</v>
      </c>
      <c r="X58" s="5" t="e">
        <f>SUM(#REF!)</f>
        <v>#REF!</v>
      </c>
      <c r="Y58" s="113" t="e">
        <f t="shared" si="9"/>
        <v>#REF!</v>
      </c>
    </row>
    <row r="59" spans="2:25" x14ac:dyDescent="0.25">
      <c r="B59" s="100" t="e">
        <f>SourceValues!#REF!</f>
        <v>#REF!</v>
      </c>
      <c r="C59" s="101" t="e">
        <f>SourceValues!#REF!</f>
        <v>#REF!</v>
      </c>
      <c r="D59" s="102" t="e">
        <f>SourceValues!#REF!</f>
        <v>#REF!</v>
      </c>
      <c r="E59" s="4" t="e">
        <f>SourceValues!#REF!</f>
        <v>#REF!</v>
      </c>
      <c r="F59" s="5" t="e">
        <f>SUM(#REF!)</f>
        <v>#REF!</v>
      </c>
      <c r="G59" s="113" t="e">
        <f t="shared" si="0"/>
        <v>#REF!</v>
      </c>
      <c r="H59" s="5" t="e">
        <f>SUM(#REF!)</f>
        <v>#REF!</v>
      </c>
      <c r="I59" s="113" t="e">
        <f t="shared" si="1"/>
        <v>#REF!</v>
      </c>
      <c r="J59" s="5" t="e">
        <f>SUM(#REF!)</f>
        <v>#REF!</v>
      </c>
      <c r="K59" s="113" t="e">
        <f t="shared" si="2"/>
        <v>#REF!</v>
      </c>
      <c r="L59" s="5" t="e">
        <f>SUM(#REF!)</f>
        <v>#REF!</v>
      </c>
      <c r="M59" s="113" t="e">
        <f t="shared" si="3"/>
        <v>#REF!</v>
      </c>
      <c r="N59" s="5" t="e">
        <f>SUM(#REF!)</f>
        <v>#REF!</v>
      </c>
      <c r="O59" s="113" t="e">
        <f t="shared" si="4"/>
        <v>#REF!</v>
      </c>
      <c r="P59" s="111" t="e">
        <f>SUM(#REF!)</f>
        <v>#REF!</v>
      </c>
      <c r="Q59" s="113" t="e">
        <f t="shared" si="5"/>
        <v>#REF!</v>
      </c>
      <c r="R59" s="111" t="e">
        <f>SUM(#REF!)</f>
        <v>#REF!</v>
      </c>
      <c r="S59" s="113" t="e">
        <f t="shared" si="6"/>
        <v>#REF!</v>
      </c>
      <c r="T59" s="5" t="e">
        <f>SUM(#REF!)</f>
        <v>#REF!</v>
      </c>
      <c r="U59" s="113" t="e">
        <f t="shared" si="7"/>
        <v>#REF!</v>
      </c>
      <c r="V59" s="5" t="e">
        <f>SUM(#REF!)</f>
        <v>#REF!</v>
      </c>
      <c r="W59" s="113" t="e">
        <f t="shared" si="8"/>
        <v>#REF!</v>
      </c>
      <c r="X59" s="5" t="e">
        <f>SUM(#REF!)</f>
        <v>#REF!</v>
      </c>
      <c r="Y59" s="113" t="e">
        <f t="shared" si="9"/>
        <v>#REF!</v>
      </c>
    </row>
    <row r="60" spans="2:25" x14ac:dyDescent="0.25">
      <c r="B60" s="100" t="e">
        <f>SourceValues!#REF!</f>
        <v>#REF!</v>
      </c>
      <c r="C60" s="101" t="e">
        <f>SourceValues!#REF!</f>
        <v>#REF!</v>
      </c>
      <c r="D60" s="102" t="e">
        <f>SourceValues!#REF!</f>
        <v>#REF!</v>
      </c>
      <c r="E60" s="4" t="e">
        <f>SourceValues!#REF!</f>
        <v>#REF!</v>
      </c>
      <c r="F60" s="5" t="e">
        <f>SUM(#REF!)</f>
        <v>#REF!</v>
      </c>
      <c r="G60" s="113" t="e">
        <f t="shared" si="0"/>
        <v>#REF!</v>
      </c>
      <c r="H60" s="5" t="e">
        <f>SUM(#REF!)</f>
        <v>#REF!</v>
      </c>
      <c r="I60" s="113" t="e">
        <f t="shared" si="1"/>
        <v>#REF!</v>
      </c>
      <c r="J60" s="5" t="e">
        <f>SUM(#REF!)</f>
        <v>#REF!</v>
      </c>
      <c r="K60" s="113" t="e">
        <f t="shared" si="2"/>
        <v>#REF!</v>
      </c>
      <c r="L60" s="5" t="e">
        <f>SUM(#REF!)</f>
        <v>#REF!</v>
      </c>
      <c r="M60" s="113" t="e">
        <f t="shared" si="3"/>
        <v>#REF!</v>
      </c>
      <c r="N60" s="5" t="e">
        <f>SUM(#REF!)</f>
        <v>#REF!</v>
      </c>
      <c r="O60" s="113" t="e">
        <f t="shared" si="4"/>
        <v>#REF!</v>
      </c>
      <c r="P60" s="111" t="e">
        <f>SUM(#REF!)</f>
        <v>#REF!</v>
      </c>
      <c r="Q60" s="113" t="e">
        <f t="shared" si="5"/>
        <v>#REF!</v>
      </c>
      <c r="R60" s="111" t="e">
        <f>SUM(#REF!)</f>
        <v>#REF!</v>
      </c>
      <c r="S60" s="113" t="e">
        <f t="shared" si="6"/>
        <v>#REF!</v>
      </c>
      <c r="T60" s="5" t="e">
        <f>SUM(#REF!)</f>
        <v>#REF!</v>
      </c>
      <c r="U60" s="113" t="e">
        <f t="shared" si="7"/>
        <v>#REF!</v>
      </c>
      <c r="V60" s="5" t="e">
        <f>SUM(#REF!)</f>
        <v>#REF!</v>
      </c>
      <c r="W60" s="113" t="e">
        <f t="shared" si="8"/>
        <v>#REF!</v>
      </c>
      <c r="X60" s="5" t="e">
        <f>SUM(#REF!)</f>
        <v>#REF!</v>
      </c>
      <c r="Y60" s="113" t="e">
        <f t="shared" si="9"/>
        <v>#REF!</v>
      </c>
    </row>
    <row r="61" spans="2:25" x14ac:dyDescent="0.25">
      <c r="B61" s="100" t="e">
        <f>SourceValues!#REF!</f>
        <v>#REF!</v>
      </c>
      <c r="C61" s="101" t="e">
        <f>SourceValues!#REF!</f>
        <v>#REF!</v>
      </c>
      <c r="D61" s="102" t="e">
        <f>SourceValues!#REF!</f>
        <v>#REF!</v>
      </c>
      <c r="E61" s="4" t="e">
        <f>SourceValues!#REF!</f>
        <v>#REF!</v>
      </c>
      <c r="F61" s="5" t="e">
        <f>SUM(#REF!)</f>
        <v>#REF!</v>
      </c>
      <c r="G61" s="113" t="e">
        <f t="shared" si="0"/>
        <v>#REF!</v>
      </c>
      <c r="H61" s="5" t="e">
        <f>SUM(#REF!)</f>
        <v>#REF!</v>
      </c>
      <c r="I61" s="113" t="e">
        <f t="shared" si="1"/>
        <v>#REF!</v>
      </c>
      <c r="J61" s="5" t="e">
        <f>SUM(#REF!)</f>
        <v>#REF!</v>
      </c>
      <c r="K61" s="113" t="e">
        <f t="shared" si="2"/>
        <v>#REF!</v>
      </c>
      <c r="L61" s="5" t="e">
        <f>SUM(#REF!)</f>
        <v>#REF!</v>
      </c>
      <c r="M61" s="113" t="e">
        <f t="shared" si="3"/>
        <v>#REF!</v>
      </c>
      <c r="N61" s="5" t="e">
        <f>SUM(#REF!)</f>
        <v>#REF!</v>
      </c>
      <c r="O61" s="113" t="e">
        <f t="shared" si="4"/>
        <v>#REF!</v>
      </c>
      <c r="P61" s="111" t="e">
        <f>SUM(#REF!)</f>
        <v>#REF!</v>
      </c>
      <c r="Q61" s="113" t="e">
        <f t="shared" si="5"/>
        <v>#REF!</v>
      </c>
      <c r="R61" s="111" t="e">
        <f>SUM(#REF!)</f>
        <v>#REF!</v>
      </c>
      <c r="S61" s="113" t="e">
        <f t="shared" si="6"/>
        <v>#REF!</v>
      </c>
      <c r="T61" s="5" t="e">
        <f>SUM(#REF!)</f>
        <v>#REF!</v>
      </c>
      <c r="U61" s="113" t="e">
        <f t="shared" si="7"/>
        <v>#REF!</v>
      </c>
      <c r="V61" s="5" t="e">
        <f>SUM(#REF!)</f>
        <v>#REF!</v>
      </c>
      <c r="W61" s="113" t="e">
        <f t="shared" si="8"/>
        <v>#REF!</v>
      </c>
      <c r="X61" s="5" t="e">
        <f>SUM(#REF!)</f>
        <v>#REF!</v>
      </c>
      <c r="Y61" s="113" t="e">
        <f t="shared" si="9"/>
        <v>#REF!</v>
      </c>
    </row>
    <row r="62" spans="2:25" x14ac:dyDescent="0.25">
      <c r="B62" s="100" t="e">
        <f>SourceValues!#REF!</f>
        <v>#REF!</v>
      </c>
      <c r="C62" s="101" t="e">
        <f>SourceValues!#REF!</f>
        <v>#REF!</v>
      </c>
      <c r="D62" s="102" t="e">
        <f>SourceValues!#REF!</f>
        <v>#REF!</v>
      </c>
      <c r="E62" s="4" t="e">
        <f>SourceValues!#REF!</f>
        <v>#REF!</v>
      </c>
      <c r="F62" s="5" t="e">
        <f>SUM(#REF!)</f>
        <v>#REF!</v>
      </c>
      <c r="G62" s="113" t="e">
        <f t="shared" si="0"/>
        <v>#REF!</v>
      </c>
      <c r="H62" s="5" t="e">
        <f>SUM(#REF!)</f>
        <v>#REF!</v>
      </c>
      <c r="I62" s="113" t="e">
        <f t="shared" si="1"/>
        <v>#REF!</v>
      </c>
      <c r="J62" s="5" t="e">
        <f>SUM(#REF!)</f>
        <v>#REF!</v>
      </c>
      <c r="K62" s="113" t="e">
        <f t="shared" si="2"/>
        <v>#REF!</v>
      </c>
      <c r="L62" s="5" t="e">
        <f>SUM(#REF!)</f>
        <v>#REF!</v>
      </c>
      <c r="M62" s="113" t="e">
        <f t="shared" si="3"/>
        <v>#REF!</v>
      </c>
      <c r="N62" s="5" t="e">
        <f>SUM(#REF!)</f>
        <v>#REF!</v>
      </c>
      <c r="O62" s="113" t="e">
        <f t="shared" si="4"/>
        <v>#REF!</v>
      </c>
      <c r="P62" s="111" t="e">
        <f>SUM(#REF!)</f>
        <v>#REF!</v>
      </c>
      <c r="Q62" s="113" t="e">
        <f t="shared" si="5"/>
        <v>#REF!</v>
      </c>
      <c r="R62" s="111" t="e">
        <f>SUM(#REF!)</f>
        <v>#REF!</v>
      </c>
      <c r="S62" s="113" t="e">
        <f t="shared" si="6"/>
        <v>#REF!</v>
      </c>
      <c r="T62" s="5" t="e">
        <f>SUM(#REF!)</f>
        <v>#REF!</v>
      </c>
      <c r="U62" s="113" t="e">
        <f t="shared" si="7"/>
        <v>#REF!</v>
      </c>
      <c r="V62" s="5" t="e">
        <f>SUM(#REF!)</f>
        <v>#REF!</v>
      </c>
      <c r="W62" s="113" t="e">
        <f t="shared" si="8"/>
        <v>#REF!</v>
      </c>
      <c r="X62" s="5" t="e">
        <f>SUM(#REF!)</f>
        <v>#REF!</v>
      </c>
      <c r="Y62" s="113" t="e">
        <f t="shared" si="9"/>
        <v>#REF!</v>
      </c>
    </row>
    <row r="63" spans="2:25" x14ac:dyDescent="0.25">
      <c r="B63" s="100">
        <f>SourceValues!A90</f>
        <v>0</v>
      </c>
      <c r="C63" s="101">
        <f>SourceValues!B90</f>
        <v>0</v>
      </c>
      <c r="D63" s="102">
        <f>SourceValues!C90</f>
        <v>0</v>
      </c>
      <c r="E63" s="4" t="e">
        <f>SourceValues!E90</f>
        <v>#REF!</v>
      </c>
      <c r="F63" s="5" t="e">
        <f>SUM(#REF!)</f>
        <v>#REF!</v>
      </c>
      <c r="G63" s="113" t="e">
        <f t="shared" si="0"/>
        <v>#REF!</v>
      </c>
      <c r="H63" s="5" t="e">
        <f>SUM(#REF!)</f>
        <v>#REF!</v>
      </c>
      <c r="I63" s="113" t="e">
        <f t="shared" si="1"/>
        <v>#REF!</v>
      </c>
      <c r="J63" s="5" t="e">
        <f>SUM(#REF!)</f>
        <v>#REF!</v>
      </c>
      <c r="K63" s="113" t="e">
        <f t="shared" si="2"/>
        <v>#REF!</v>
      </c>
      <c r="L63" s="5" t="e">
        <f>SUM(#REF!)</f>
        <v>#REF!</v>
      </c>
      <c r="M63" s="113" t="e">
        <f t="shared" si="3"/>
        <v>#REF!</v>
      </c>
      <c r="N63" s="5" t="e">
        <f>SUM(#REF!)</f>
        <v>#REF!</v>
      </c>
      <c r="O63" s="113" t="e">
        <f t="shared" si="4"/>
        <v>#REF!</v>
      </c>
      <c r="P63" s="111" t="e">
        <f>SUM(#REF!)</f>
        <v>#REF!</v>
      </c>
      <c r="Q63" s="113" t="e">
        <f t="shared" si="5"/>
        <v>#REF!</v>
      </c>
      <c r="R63" s="111" t="e">
        <f>SUM(#REF!)</f>
        <v>#REF!</v>
      </c>
      <c r="S63" s="113" t="e">
        <f t="shared" si="6"/>
        <v>#REF!</v>
      </c>
      <c r="T63" s="5" t="e">
        <f>SUM(#REF!)</f>
        <v>#REF!</v>
      </c>
      <c r="U63" s="113" t="e">
        <f t="shared" si="7"/>
        <v>#REF!</v>
      </c>
      <c r="V63" s="5" t="e">
        <f>SUM(#REF!)</f>
        <v>#REF!</v>
      </c>
      <c r="W63" s="113" t="e">
        <f t="shared" si="8"/>
        <v>#REF!</v>
      </c>
      <c r="X63" s="5" t="e">
        <f>SUM(#REF!)</f>
        <v>#REF!</v>
      </c>
      <c r="Y63" s="113" t="e">
        <f t="shared" si="9"/>
        <v>#REF!</v>
      </c>
    </row>
    <row r="64" spans="2:25" x14ac:dyDescent="0.25">
      <c r="F64" s="5" t="e">
        <f t="shared" ref="F64:Y64" si="10">SUM(F9:F63)</f>
        <v>#REF!</v>
      </c>
      <c r="G64" s="113" t="e">
        <f t="shared" si="10"/>
        <v>#REF!</v>
      </c>
      <c r="H64" s="5" t="e">
        <f t="shared" si="10"/>
        <v>#REF!</v>
      </c>
      <c r="I64" s="113" t="e">
        <f t="shared" si="10"/>
        <v>#REF!</v>
      </c>
      <c r="J64" s="5" t="e">
        <f t="shared" si="10"/>
        <v>#REF!</v>
      </c>
      <c r="K64" s="113" t="e">
        <f t="shared" si="10"/>
        <v>#REF!</v>
      </c>
      <c r="L64" s="5" t="e">
        <f t="shared" si="10"/>
        <v>#REF!</v>
      </c>
      <c r="M64" s="113" t="e">
        <f t="shared" si="10"/>
        <v>#REF!</v>
      </c>
      <c r="N64" s="5" t="e">
        <f t="shared" si="10"/>
        <v>#REF!</v>
      </c>
      <c r="O64" s="113" t="e">
        <f t="shared" si="10"/>
        <v>#REF!</v>
      </c>
      <c r="P64" s="5" t="e">
        <f t="shared" si="10"/>
        <v>#REF!</v>
      </c>
      <c r="Q64" s="113" t="e">
        <f t="shared" si="10"/>
        <v>#REF!</v>
      </c>
      <c r="R64" s="5" t="e">
        <f t="shared" si="10"/>
        <v>#REF!</v>
      </c>
      <c r="S64" s="113" t="e">
        <f t="shared" si="10"/>
        <v>#REF!</v>
      </c>
      <c r="T64" s="5" t="e">
        <f t="shared" si="10"/>
        <v>#REF!</v>
      </c>
      <c r="U64" s="113" t="e">
        <f t="shared" si="10"/>
        <v>#REF!</v>
      </c>
      <c r="V64" s="5" t="e">
        <f t="shared" si="10"/>
        <v>#REF!</v>
      </c>
      <c r="W64" s="113" t="e">
        <f t="shared" si="10"/>
        <v>#REF!</v>
      </c>
      <c r="X64" s="5" t="e">
        <f t="shared" si="10"/>
        <v>#REF!</v>
      </c>
      <c r="Y64" s="113" t="e">
        <f t="shared" si="10"/>
        <v>#REF!</v>
      </c>
    </row>
  </sheetData>
  <sheetProtection algorithmName="SHA-512" hashValue="GZP9jWFmE/Lc3yUKHbTeQCBgEVwSv5aV2Yds4xl3MixmkaRc1rdwhzr+9j2oC4EVkaVVhtqX7n2OC1Y9EHsmFA==" saltValue="esOWcGRHaQJh8KJiihoLaw==" spinCount="100000" sheet="1" objects="1" scenarios="1"/>
  <mergeCells count="20">
    <mergeCell ref="R5:S5"/>
    <mergeCell ref="R6:S6"/>
    <mergeCell ref="L5:M5"/>
    <mergeCell ref="L6:M6"/>
    <mergeCell ref="N5:O5"/>
    <mergeCell ref="N6:O6"/>
    <mergeCell ref="P5:Q5"/>
    <mergeCell ref="P6:Q6"/>
    <mergeCell ref="F5:G5"/>
    <mergeCell ref="F6:G6"/>
    <mergeCell ref="H5:I5"/>
    <mergeCell ref="H6:I6"/>
    <mergeCell ref="J5:K5"/>
    <mergeCell ref="J6:K6"/>
    <mergeCell ref="T5:U5"/>
    <mergeCell ref="T6:U6"/>
    <mergeCell ref="V5:W5"/>
    <mergeCell ref="V6:W6"/>
    <mergeCell ref="X5:Y5"/>
    <mergeCell ref="X6:Y6"/>
  </mergeCells>
  <pageMargins left="0.7" right="0.7" top="0.75" bottom="0.75" header="0.3" footer="0.3"/>
  <pageSetup orientation="portrait" r:id="rId1"/>
  <ignoredErrors>
    <ignoredError sqref="B9" unlocked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7CB5-AF97-4964-9F7F-785E3FDD7206}">
  <sheetPr codeName="Sheet12"/>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66A7-7234-4994-99E3-16B593B977E6}">
  <sheetPr codeName="Sheet13">
    <pageSetUpPr fitToPage="1"/>
  </sheetPr>
  <dimension ref="D2:J35"/>
  <sheetViews>
    <sheetView workbookViewId="0">
      <selection activeCell="D11" sqref="D11"/>
    </sheetView>
  </sheetViews>
  <sheetFormatPr defaultColWidth="8.85546875" defaultRowHeight="15" x14ac:dyDescent="0.25"/>
  <cols>
    <col min="4" max="4" width="58.85546875" customWidth="1"/>
    <col min="5" max="5" width="7.7109375" customWidth="1"/>
    <col min="6" max="6" width="17.42578125" customWidth="1"/>
    <col min="7" max="7" width="3" customWidth="1"/>
    <col min="8" max="8" width="58.85546875" customWidth="1"/>
    <col min="9" max="9" width="7.7109375" customWidth="1"/>
    <col min="10" max="10" width="17.42578125" customWidth="1"/>
  </cols>
  <sheetData>
    <row r="2" spans="4:10" ht="31.5" x14ac:dyDescent="0.5">
      <c r="D2" s="125" t="s">
        <v>159</v>
      </c>
      <c r="H2" s="125"/>
    </row>
    <row r="3" spans="4:10" ht="21" x14ac:dyDescent="0.35">
      <c r="D3" s="126" t="s">
        <v>143</v>
      </c>
    </row>
    <row r="4" spans="4:10" ht="21" customHeight="1" x14ac:dyDescent="0.35">
      <c r="D4" s="126" t="s">
        <v>160</v>
      </c>
    </row>
    <row r="5" spans="4:10" ht="21" x14ac:dyDescent="0.35">
      <c r="D5" s="126" t="s">
        <v>161</v>
      </c>
    </row>
    <row r="6" spans="4:10" ht="21" customHeight="1" x14ac:dyDescent="0.25"/>
    <row r="7" spans="4:10" ht="21" customHeight="1" x14ac:dyDescent="0.25">
      <c r="D7" s="18" t="s">
        <v>100</v>
      </c>
      <c r="E7" s="18" t="s">
        <v>125</v>
      </c>
      <c r="F7" s="18" t="s">
        <v>162</v>
      </c>
      <c r="H7" s="18" t="s">
        <v>100</v>
      </c>
      <c r="I7" s="18" t="s">
        <v>125</v>
      </c>
      <c r="J7" s="18" t="s">
        <v>162</v>
      </c>
    </row>
    <row r="8" spans="4:10" ht="21" customHeight="1" x14ac:dyDescent="0.25">
      <c r="D8" s="5" t="s">
        <v>163</v>
      </c>
      <c r="E8" s="5" t="s">
        <v>55</v>
      </c>
      <c r="F8" s="5"/>
      <c r="H8" s="5" t="e">
        <f>SourceValues!#REF!</f>
        <v>#REF!</v>
      </c>
      <c r="I8" s="5" t="e">
        <f>SourceValues!#REF!</f>
        <v>#REF!</v>
      </c>
      <c r="J8" s="5"/>
    </row>
    <row r="9" spans="4:10" ht="21" customHeight="1" x14ac:dyDescent="0.25">
      <c r="D9" s="5" t="str">
        <f>SourceValues!$A7</f>
        <v>Limited oral evaluation – problem focused</v>
      </c>
      <c r="E9" s="5" t="str">
        <f>SourceValues!$B7</f>
        <v>D0140</v>
      </c>
      <c r="F9" s="5"/>
      <c r="H9" s="5" t="e">
        <f>SourceValues!#REF!</f>
        <v>#REF!</v>
      </c>
      <c r="I9" s="5" t="e">
        <f>SourceValues!#REF!</f>
        <v>#REF!</v>
      </c>
      <c r="J9" s="5"/>
    </row>
    <row r="10" spans="4:10" ht="21" customHeight="1" x14ac:dyDescent="0.25">
      <c r="D10" s="5" t="str">
        <f>SourceValues!$A9</f>
        <v>Comprehensive oral evaluation – new or established patient</v>
      </c>
      <c r="E10" s="5" t="str">
        <f>SourceValues!$B9</f>
        <v>D0150</v>
      </c>
      <c r="F10" s="5"/>
      <c r="H10" s="5" t="e">
        <f>SourceValues!#REF!</f>
        <v>#REF!</v>
      </c>
      <c r="I10" s="5" t="e">
        <f>SourceValues!#REF!</f>
        <v>#REF!</v>
      </c>
      <c r="J10" s="5"/>
    </row>
    <row r="11" spans="4:10" ht="21" customHeight="1" x14ac:dyDescent="0.25">
      <c r="D11" s="5" t="str">
        <f>SourceValues!$A10</f>
        <v>Detailed and extensive oral evaluation – problem focused, by report</v>
      </c>
      <c r="E11" s="5" t="str">
        <f>SourceValues!$B10</f>
        <v>D0160</v>
      </c>
      <c r="F11" s="5"/>
      <c r="H11" s="5" t="e">
        <f>SourceValues!#REF!</f>
        <v>#REF!</v>
      </c>
      <c r="I11" s="5" t="e">
        <f>SourceValues!#REF!</f>
        <v>#REF!</v>
      </c>
      <c r="J11" s="5"/>
    </row>
    <row r="12" spans="4:10" ht="21" customHeight="1" x14ac:dyDescent="0.25">
      <c r="D12" s="5" t="e">
        <f>SourceValues!#REF!</f>
        <v>#REF!</v>
      </c>
      <c r="E12" s="5" t="e">
        <f>SourceValues!#REF!</f>
        <v>#REF!</v>
      </c>
      <c r="F12" s="5"/>
      <c r="H12" s="5" t="e">
        <f>SourceValues!#REF!</f>
        <v>#REF!</v>
      </c>
      <c r="I12" s="5" t="e">
        <f>SourceValues!#REF!</f>
        <v>#REF!</v>
      </c>
      <c r="J12" s="5"/>
    </row>
    <row r="13" spans="4:10" ht="21" customHeight="1" x14ac:dyDescent="0.25">
      <c r="D13" s="5" t="e">
        <f>SourceValues!#REF!</f>
        <v>#REF!</v>
      </c>
      <c r="E13" s="5" t="e">
        <f>SourceValues!#REF!</f>
        <v>#REF!</v>
      </c>
      <c r="F13" s="5"/>
      <c r="H13" s="5" t="e">
        <f>SourceValues!#REF!</f>
        <v>#REF!</v>
      </c>
      <c r="I13" s="5" t="e">
        <f>SourceValues!#REF!</f>
        <v>#REF!</v>
      </c>
      <c r="J13" s="5"/>
    </row>
    <row r="14" spans="4:10" ht="21" customHeight="1" x14ac:dyDescent="0.25">
      <c r="D14" s="5" t="e">
        <f>SourceValues!#REF!</f>
        <v>#REF!</v>
      </c>
      <c r="E14" s="5" t="e">
        <f>SourceValues!#REF!</f>
        <v>#REF!</v>
      </c>
      <c r="F14" s="5"/>
      <c r="H14" s="5" t="e">
        <f>SourceValues!#REF!</f>
        <v>#REF!</v>
      </c>
      <c r="I14" s="5" t="e">
        <f>SourceValues!#REF!</f>
        <v>#REF!</v>
      </c>
      <c r="J14" s="5"/>
    </row>
    <row r="15" spans="4:10" ht="21" customHeight="1" x14ac:dyDescent="0.25">
      <c r="D15" s="5" t="e">
        <f>SourceValues!#REF!</f>
        <v>#REF!</v>
      </c>
      <c r="E15" s="5" t="e">
        <f>SourceValues!#REF!</f>
        <v>#REF!</v>
      </c>
      <c r="F15" s="5"/>
      <c r="H15" s="5" t="e">
        <f>SourceValues!#REF!</f>
        <v>#REF!</v>
      </c>
      <c r="I15" s="5" t="e">
        <f>SourceValues!#REF!</f>
        <v>#REF!</v>
      </c>
      <c r="J15" s="5"/>
    </row>
    <row r="16" spans="4:10" ht="21" customHeight="1" x14ac:dyDescent="0.25">
      <c r="D16" s="5" t="e">
        <f>SourceValues!#REF!</f>
        <v>#REF!</v>
      </c>
      <c r="E16" s="5" t="e">
        <f>SourceValues!#REF!</f>
        <v>#REF!</v>
      </c>
      <c r="F16" s="5"/>
      <c r="H16" s="5" t="str">
        <f>SourceValues!$A68</f>
        <v>Removal of impacted tooth – partially bony</v>
      </c>
      <c r="I16" s="5" t="str">
        <f>SourceValues!$B68</f>
        <v>D7230</v>
      </c>
      <c r="J16" s="5"/>
    </row>
    <row r="17" spans="4:10" ht="21" customHeight="1" x14ac:dyDescent="0.25">
      <c r="D17" s="5" t="e">
        <f>SourceValues!#REF!</f>
        <v>#REF!</v>
      </c>
      <c r="E17" s="5" t="e">
        <f>SourceValues!#REF!</f>
        <v>#REF!</v>
      </c>
      <c r="F17" s="5"/>
      <c r="H17" s="5" t="e">
        <f>SourceValues!#REF!</f>
        <v>#REF!</v>
      </c>
      <c r="I17" s="5" t="e">
        <f>SourceValues!#REF!</f>
        <v>#REF!</v>
      </c>
      <c r="J17" s="5"/>
    </row>
    <row r="18" spans="4:10" ht="21" customHeight="1" x14ac:dyDescent="0.25">
      <c r="D18" s="5" t="e">
        <f>SourceValues!#REF!</f>
        <v>#REF!</v>
      </c>
      <c r="E18" s="5" t="e">
        <f>SourceValues!#REF!</f>
        <v>#REF!</v>
      </c>
      <c r="F18" s="5"/>
      <c r="H18" s="5" t="e">
        <f>SourceValues!#REF!</f>
        <v>#REF!</v>
      </c>
      <c r="I18" s="5" t="e">
        <f>SourceValues!#REF!</f>
        <v>#REF!</v>
      </c>
      <c r="J18" s="5"/>
    </row>
    <row r="19" spans="4:10" ht="21" customHeight="1" x14ac:dyDescent="0.25">
      <c r="D19" s="5" t="e">
        <f>SourceValues!#REF!</f>
        <v>#REF!</v>
      </c>
      <c r="E19" s="5" t="e">
        <f>SourceValues!#REF!</f>
        <v>#REF!</v>
      </c>
      <c r="F19" s="5"/>
      <c r="H19" s="5" t="e">
        <f>SourceValues!#REF!</f>
        <v>#REF!</v>
      </c>
      <c r="I19" s="5" t="e">
        <f>SourceValues!#REF!</f>
        <v>#REF!</v>
      </c>
      <c r="J19" s="5"/>
    </row>
    <row r="20" spans="4:10" ht="21" customHeight="1" x14ac:dyDescent="0.25">
      <c r="D20" s="5" t="e">
        <f>SourceValues!#REF!</f>
        <v>#REF!</v>
      </c>
      <c r="E20" s="5" t="e">
        <f>SourceValues!#REF!</f>
        <v>#REF!</v>
      </c>
      <c r="F20" s="5"/>
      <c r="H20" s="5" t="e">
        <f>SourceValues!#REF!</f>
        <v>#REF!</v>
      </c>
      <c r="I20" s="5" t="e">
        <f>SourceValues!#REF!</f>
        <v>#REF!</v>
      </c>
      <c r="J20" s="5"/>
    </row>
    <row r="21" spans="4:10" ht="21" customHeight="1" x14ac:dyDescent="0.25">
      <c r="D21" s="5" t="e">
        <f>SourceValues!#REF!</f>
        <v>#REF!</v>
      </c>
      <c r="E21" s="5" t="e">
        <f>SourceValues!#REF!</f>
        <v>#REF!</v>
      </c>
      <c r="F21" s="5"/>
      <c r="H21" s="5" t="e">
        <f>SourceValues!#REF!</f>
        <v>#REF!</v>
      </c>
      <c r="I21" s="5" t="e">
        <f>SourceValues!#REF!</f>
        <v>#REF!</v>
      </c>
      <c r="J21" s="5"/>
    </row>
    <row r="22" spans="4:10" ht="21" customHeight="1" x14ac:dyDescent="0.25">
      <c r="D22" s="5" t="e">
        <f>SourceValues!#REF!</f>
        <v>#REF!</v>
      </c>
      <c r="E22" s="5" t="e">
        <f>SourceValues!#REF!</f>
        <v>#REF!</v>
      </c>
      <c r="F22" s="5"/>
      <c r="H22" s="5" t="e">
        <f>SourceValues!#REF!</f>
        <v>#REF!</v>
      </c>
      <c r="I22" s="5" t="e">
        <f>SourceValues!#REF!</f>
        <v>#REF!</v>
      </c>
      <c r="J22" s="5"/>
    </row>
    <row r="23" spans="4:10" ht="21" customHeight="1" x14ac:dyDescent="0.25">
      <c r="D23" s="5" t="e">
        <f>SourceValues!#REF!</f>
        <v>#REF!</v>
      </c>
      <c r="E23" s="5" t="e">
        <f>SourceValues!#REF!</f>
        <v>#REF!</v>
      </c>
      <c r="F23" s="5"/>
      <c r="H23" s="5" t="e">
        <f>SourceValues!#REF!</f>
        <v>#REF!</v>
      </c>
      <c r="I23" s="5" t="e">
        <f>SourceValues!#REF!</f>
        <v>#REF!</v>
      </c>
      <c r="J23" s="5"/>
    </row>
    <row r="24" spans="4:10" ht="21" customHeight="1" x14ac:dyDescent="0.25">
      <c r="D24" s="5" t="e">
        <f>SourceValues!#REF!</f>
        <v>#REF!</v>
      </c>
      <c r="E24" s="5" t="e">
        <f>SourceValues!#REF!</f>
        <v>#REF!</v>
      </c>
      <c r="F24" s="5"/>
      <c r="H24" s="5" t="e">
        <f>SourceValues!#REF!</f>
        <v>#REF!</v>
      </c>
      <c r="I24" s="5" t="e">
        <f>SourceValues!#REF!</f>
        <v>#REF!</v>
      </c>
      <c r="J24" s="5"/>
    </row>
    <row r="25" spans="4:10" ht="21" customHeight="1" x14ac:dyDescent="0.25">
      <c r="D25" s="5" t="e">
        <f>SourceValues!#REF!</f>
        <v>#REF!</v>
      </c>
      <c r="E25" s="5" t="e">
        <f>SourceValues!#REF!</f>
        <v>#REF!</v>
      </c>
      <c r="F25" s="5"/>
      <c r="H25" s="5" t="e">
        <f>SourceValues!#REF!</f>
        <v>#REF!</v>
      </c>
      <c r="I25" s="5" t="e">
        <f>SourceValues!#REF!</f>
        <v>#REF!</v>
      </c>
      <c r="J25" s="5"/>
    </row>
    <row r="26" spans="4:10" ht="21" customHeight="1" x14ac:dyDescent="0.25">
      <c r="D26" s="5" t="e">
        <f>SourceValues!#REF!</f>
        <v>#REF!</v>
      </c>
      <c r="E26" s="5" t="e">
        <f>SourceValues!#REF!</f>
        <v>#REF!</v>
      </c>
      <c r="F26" s="5"/>
      <c r="H26" s="5" t="e">
        <f>SourceValues!#REF!</f>
        <v>#REF!</v>
      </c>
      <c r="I26" s="5" t="e">
        <f>SourceValues!#REF!</f>
        <v>#REF!</v>
      </c>
      <c r="J26" s="5"/>
    </row>
    <row r="27" spans="4:10" ht="21" customHeight="1" x14ac:dyDescent="0.25">
      <c r="D27" s="5" t="e">
        <f>SourceValues!#REF!</f>
        <v>#REF!</v>
      </c>
      <c r="E27" s="5" t="e">
        <f>SourceValues!#REF!</f>
        <v>#REF!</v>
      </c>
      <c r="F27" s="5"/>
      <c r="H27" s="5" t="e">
        <f>SourceValues!#REF!</f>
        <v>#REF!</v>
      </c>
      <c r="I27" s="5" t="e">
        <f>SourceValues!#REF!</f>
        <v>#REF!</v>
      </c>
      <c r="J27" s="5"/>
    </row>
    <row r="28" spans="4:10" ht="21" customHeight="1" x14ac:dyDescent="0.25">
      <c r="D28" s="5" t="e">
        <f>SourceValues!#REF!</f>
        <v>#REF!</v>
      </c>
      <c r="E28" s="5" t="e">
        <f>SourceValues!#REF!</f>
        <v>#REF!</v>
      </c>
      <c r="F28" s="5"/>
      <c r="H28" s="5" t="e">
        <f>SourceValues!#REF!</f>
        <v>#REF!</v>
      </c>
      <c r="I28" s="5" t="e">
        <f>SourceValues!#REF!</f>
        <v>#REF!</v>
      </c>
      <c r="J28" s="5"/>
    </row>
    <row r="29" spans="4:10" ht="21" customHeight="1" x14ac:dyDescent="0.25">
      <c r="D29" s="5" t="e">
        <f>SourceValues!#REF!</f>
        <v>#REF!</v>
      </c>
      <c r="E29" s="5" t="e">
        <f>SourceValues!#REF!</f>
        <v>#REF!</v>
      </c>
      <c r="F29" s="5"/>
      <c r="H29" s="5" t="e">
        <f>SourceValues!#REF!</f>
        <v>#REF!</v>
      </c>
      <c r="I29" s="5" t="e">
        <f>SourceValues!#REF!</f>
        <v>#REF!</v>
      </c>
      <c r="J29" s="5"/>
    </row>
    <row r="30" spans="4:10" ht="21" customHeight="1" x14ac:dyDescent="0.25">
      <c r="D30" s="5" t="e">
        <f>SourceValues!#REF!</f>
        <v>#REF!</v>
      </c>
      <c r="E30" s="5" t="e">
        <f>SourceValues!#REF!</f>
        <v>#REF!</v>
      </c>
      <c r="F30" s="5"/>
      <c r="H30" s="5" t="e">
        <f>SourceValues!#REF!</f>
        <v>#REF!</v>
      </c>
      <c r="I30" s="5" t="e">
        <f>SourceValues!#REF!</f>
        <v>#REF!</v>
      </c>
      <c r="J30" s="5"/>
    </row>
    <row r="31" spans="4:10" ht="21" customHeight="1" x14ac:dyDescent="0.25">
      <c r="D31" s="5" t="e">
        <f>SourceValues!#REF!</f>
        <v>#REF!</v>
      </c>
      <c r="E31" s="5" t="e">
        <f>SourceValues!#REF!</f>
        <v>#REF!</v>
      </c>
      <c r="F31" s="5"/>
      <c r="H31" s="5" t="e">
        <f>SourceValues!#REF!</f>
        <v>#REF!</v>
      </c>
      <c r="I31" s="5" t="e">
        <f>SourceValues!#REF!</f>
        <v>#REF!</v>
      </c>
      <c r="J31" s="5"/>
    </row>
    <row r="32" spans="4:10" ht="21" customHeight="1" x14ac:dyDescent="0.25">
      <c r="D32" s="5" t="e">
        <f>SourceValues!#REF!</f>
        <v>#REF!</v>
      </c>
      <c r="E32" s="5" t="e">
        <f>SourceValues!#REF!</f>
        <v>#REF!</v>
      </c>
      <c r="F32" s="5"/>
      <c r="H32" s="5" t="e">
        <f>SourceValues!#REF!</f>
        <v>#REF!</v>
      </c>
      <c r="I32" s="5" t="e">
        <f>SourceValues!#REF!</f>
        <v>#REF!</v>
      </c>
      <c r="J32" s="5"/>
    </row>
    <row r="33" spans="4:10" ht="21" customHeight="1" x14ac:dyDescent="0.25">
      <c r="D33" s="5" t="e">
        <f>SourceValues!#REF!</f>
        <v>#REF!</v>
      </c>
      <c r="E33" s="5" t="e">
        <f>SourceValues!#REF!</f>
        <v>#REF!</v>
      </c>
      <c r="F33" s="5"/>
      <c r="H33" s="5" t="e">
        <f>SourceValues!#REF!</f>
        <v>#REF!</v>
      </c>
      <c r="I33" s="5" t="e">
        <f>SourceValues!#REF!</f>
        <v>#REF!</v>
      </c>
      <c r="J33" s="5"/>
    </row>
    <row r="34" spans="4:10" ht="21" customHeight="1" x14ac:dyDescent="0.25">
      <c r="H34" s="5" t="e">
        <f>SourceValues!#REF!</f>
        <v>#REF!</v>
      </c>
      <c r="I34" s="5" t="e">
        <f>SourceValues!#REF!</f>
        <v>#REF!</v>
      </c>
      <c r="J34" s="5"/>
    </row>
    <row r="35" spans="4:10" ht="21" customHeight="1" x14ac:dyDescent="0.25"/>
  </sheetData>
  <sheetProtection algorithmName="SHA-512" hashValue="HrzF9+qD49iRgK78yoRrIk4XVjKnb7ECsvd9l6a5tZRdo6ABCnLXDujiTOEi1Hmbe8PB1skv3cRsnGjIlTkX/w==" saltValue="7ohhbvsHqqkwLU1MxJyRgg==" spinCount="100000" sheet="1" objects="1" scenarios="1"/>
  <pageMargins left="0.25" right="0.25" top="0.5" bottom="0.75" header="0"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INSTRUCTIONS</vt:lpstr>
      <vt:lpstr>2024 Rates</vt:lpstr>
      <vt:lpstr>SourceValues</vt:lpstr>
      <vt:lpstr>Day1</vt:lpstr>
      <vt:lpstr>Day2</vt:lpstr>
      <vt:lpstr>Day3</vt:lpstr>
      <vt:lpstr>Day4</vt:lpstr>
      <vt:lpstr>Day5</vt:lpstr>
      <vt:lpstr>Day6</vt:lpstr>
      <vt:lpstr>Day7</vt:lpstr>
      <vt:lpstr>Day8</vt:lpstr>
      <vt:lpstr>Day9</vt:lpstr>
      <vt:lpstr>Day10</vt:lpstr>
      <vt:lpstr>ProjectDetails</vt:lpstr>
      <vt:lpstr>Mission Summary</vt:lpstr>
      <vt:lpstr>Overall Summary</vt:lpstr>
      <vt:lpstr>Provider Summary</vt:lpstr>
      <vt:lpstr>Sheet1</vt:lpstr>
      <vt:lpstr>Daily DIRS Sheet</vt:lpstr>
      <vt:lpstr>'Daily DIRS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Abeldt</dc:creator>
  <cp:lastModifiedBy>Dr. J. Buzzell</cp:lastModifiedBy>
  <cp:lastPrinted>2021-07-29T02:36:24Z</cp:lastPrinted>
  <dcterms:created xsi:type="dcterms:W3CDTF">2021-06-05T21:14:23Z</dcterms:created>
  <dcterms:modified xsi:type="dcterms:W3CDTF">2026-03-07T18:40:49Z</dcterms:modified>
</cp:coreProperties>
</file>